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NetworkInvestment\results\"/>
    </mc:Choice>
  </mc:AlternateContent>
  <xr:revisionPtr revIDLastSave="0" documentId="13_ncr:1_{F99C94B8-63BB-4F87-BC2E-83C5B6DB3F9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4" i="1"/>
  <c r="N5" i="1"/>
  <c r="N6" i="1"/>
  <c r="N3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4" i="1"/>
  <c r="M3" i="1"/>
  <c r="M5" i="1"/>
</calcChain>
</file>

<file path=xl/sharedStrings.xml><?xml version="1.0" encoding="utf-8"?>
<sst xmlns="http://schemas.openxmlformats.org/spreadsheetml/2006/main" count="46" uniqueCount="42">
  <si>
    <t>Reformulation</t>
  </si>
  <si>
    <t>Average computation time (s)</t>
  </si>
  <si>
    <t>Single cut PCP</t>
  </si>
  <si>
    <t>Multi-cut PCP</t>
  </si>
  <si>
    <t># iters</t>
  </si>
  <si>
    <t># cuts</t>
  </si>
  <si>
    <t>I</t>
  </si>
  <si>
    <t>bigM</t>
  </si>
  <si>
    <t>122.8(2)</t>
  </si>
  <si>
    <t>76.5(1)</t>
  </si>
  <si>
    <t>309.7(4)</t>
  </si>
  <si>
    <t>209.2(3)</t>
  </si>
  <si>
    <t>255.5(5)</t>
  </si>
  <si>
    <t>574.7(2)</t>
  </si>
  <si>
    <t>409.9(4)</t>
  </si>
  <si>
    <t>122.4(3)</t>
  </si>
  <si>
    <t>126.2(2)</t>
  </si>
  <si>
    <t>109.8(1)</t>
  </si>
  <si>
    <t>310.1(1)</t>
  </si>
  <si>
    <t>86.9(2)</t>
  </si>
  <si>
    <t>645.6(4)</t>
  </si>
  <si>
    <t>98.8(4)</t>
  </si>
  <si>
    <t>289.7(5)</t>
  </si>
  <si>
    <t>358.0(2)</t>
  </si>
  <si>
    <t>262.8(4)</t>
  </si>
  <si>
    <t>122.0(3)</t>
  </si>
  <si>
    <t>1993.3(4)</t>
  </si>
  <si>
    <t>446.5(4)</t>
  </si>
  <si>
    <t>266.5(4)</t>
  </si>
  <si>
    <t>1621.9(4)</t>
  </si>
  <si>
    <t>483.6(4)</t>
  </si>
  <si>
    <t>285.8(4)</t>
  </si>
  <si>
    <t>NPCP - 1PCP</t>
  </si>
  <si>
    <t>294.4(5)</t>
  </si>
  <si>
    <t>175.7(3)</t>
  </si>
  <si>
    <t>2173.0(7)</t>
  </si>
  <si>
    <t>512.9(4)</t>
  </si>
  <si>
    <t>324.6(4)</t>
  </si>
  <si>
    <t>167.6(5)</t>
  </si>
  <si>
    <t>535.8(2)</t>
  </si>
  <si>
    <t>201.7(2)</t>
  </si>
  <si>
    <t>100.9(1)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</si>
</sst>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3" sqref="N3:N21"/>
    </sheetView>
  </sheetViews>
  <sheetFormatPr defaultRowHeight="15" x14ac:dyDescent="0.25"/>
  <cols>
    <col min="5" max="5" width="18.28515625" customWidth="1"/>
    <col min="6" max="6" width="13.7109375" customWidth="1"/>
    <col min="7" max="7" width="14" customWidth="1"/>
    <col min="8" max="9" width="14.5703125" customWidth="1"/>
    <col min="10" max="10" width="14.85546875" customWidth="1"/>
    <col min="11" max="11" width="14" customWidth="1"/>
  </cols>
  <sheetData>
    <row r="1" spans="1:14" s="1" customFormat="1" x14ac:dyDescent="0.25">
      <c r="A1" s="1" t="s">
        <v>6</v>
      </c>
      <c r="B1" s="1" t="s">
        <v>7</v>
      </c>
      <c r="E1" s="5" t="s">
        <v>1</v>
      </c>
      <c r="F1" s="5"/>
      <c r="G1" s="5"/>
      <c r="H1" s="5" t="s">
        <v>4</v>
      </c>
      <c r="I1" s="5"/>
      <c r="J1" s="5" t="s">
        <v>5</v>
      </c>
      <c r="K1" s="5"/>
    </row>
    <row r="2" spans="1:14" s="1" customFormat="1" x14ac:dyDescent="0.25">
      <c r="E2" s="1" t="s">
        <v>0</v>
      </c>
      <c r="F2" s="1" t="s">
        <v>2</v>
      </c>
      <c r="G2" s="1" t="s">
        <v>3</v>
      </c>
      <c r="H2" s="1" t="s">
        <v>2</v>
      </c>
      <c r="I2" s="1" t="s">
        <v>3</v>
      </c>
      <c r="J2" s="1" t="s">
        <v>2</v>
      </c>
      <c r="K2" s="1" t="s">
        <v>3</v>
      </c>
      <c r="M2" s="1" t="s">
        <v>32</v>
      </c>
    </row>
    <row r="3" spans="1:14" s="2" customFormat="1" x14ac:dyDescent="0.25">
      <c r="A3" s="2">
        <v>20</v>
      </c>
      <c r="B3" s="2">
        <v>100</v>
      </c>
      <c r="E3" s="2">
        <v>9</v>
      </c>
      <c r="F3" s="2">
        <v>25.4</v>
      </c>
      <c r="G3" s="2">
        <v>14.8</v>
      </c>
      <c r="H3" s="2">
        <v>9.5</v>
      </c>
      <c r="I3" s="2">
        <v>5</v>
      </c>
      <c r="J3" s="2">
        <v>8.5</v>
      </c>
      <c r="K3" s="2">
        <v>9.4</v>
      </c>
      <c r="L3" s="3"/>
      <c r="M3" s="4">
        <f>(F3-G3)/F3</f>
        <v>0.41732283464566922</v>
      </c>
      <c r="N3" s="4">
        <f>(E3-G3)/E3</f>
        <v>-0.64444444444444449</v>
      </c>
    </row>
    <row r="4" spans="1:14" s="2" customFormat="1" x14ac:dyDescent="0.25">
      <c r="A4" s="2">
        <v>20</v>
      </c>
      <c r="B4" s="2">
        <v>500</v>
      </c>
      <c r="E4" s="2">
        <v>9.5</v>
      </c>
      <c r="F4" s="2">
        <v>21.8</v>
      </c>
      <c r="G4" s="2">
        <v>12.8</v>
      </c>
      <c r="H4" s="2">
        <v>9.5</v>
      </c>
      <c r="I4" s="2">
        <v>5</v>
      </c>
      <c r="J4" s="2">
        <v>8.5</v>
      </c>
      <c r="K4" s="2">
        <v>9.4</v>
      </c>
      <c r="L4" s="3"/>
      <c r="M4" s="4">
        <f>(F4-G4)/F4</f>
        <v>0.41284403669724767</v>
      </c>
      <c r="N4" s="4">
        <f t="shared" ref="N4:N6" si="0">(E4-G4)/E4</f>
        <v>-0.34736842105263166</v>
      </c>
    </row>
    <row r="5" spans="1:14" s="2" customFormat="1" x14ac:dyDescent="0.25">
      <c r="A5" s="2">
        <v>20</v>
      </c>
      <c r="B5" s="2">
        <v>1000</v>
      </c>
      <c r="E5" s="2">
        <v>7.1</v>
      </c>
      <c r="F5" s="2">
        <v>45.3</v>
      </c>
      <c r="G5" s="2">
        <v>15.1</v>
      </c>
      <c r="H5" s="2">
        <v>9.5</v>
      </c>
      <c r="I5" s="2">
        <v>5</v>
      </c>
      <c r="J5" s="2">
        <v>8.5</v>
      </c>
      <c r="K5" s="2">
        <v>9.4</v>
      </c>
      <c r="L5" s="3"/>
      <c r="M5" s="4">
        <f>(F5-G5)/F5</f>
        <v>0.66666666666666663</v>
      </c>
      <c r="N5" s="4">
        <f t="shared" si="0"/>
        <v>-1.1267605633802817</v>
      </c>
    </row>
    <row r="6" spans="1:14" s="2" customFormat="1" x14ac:dyDescent="0.25">
      <c r="A6" s="2">
        <v>20</v>
      </c>
      <c r="B6" s="2">
        <v>5000</v>
      </c>
      <c r="E6" s="2">
        <v>7.2</v>
      </c>
      <c r="F6" s="2">
        <v>33.4</v>
      </c>
      <c r="G6" s="2">
        <v>11.7</v>
      </c>
      <c r="H6" s="2">
        <v>9.5</v>
      </c>
      <c r="I6" s="2">
        <v>5</v>
      </c>
      <c r="J6" s="2">
        <v>8.5</v>
      </c>
      <c r="K6" s="2">
        <v>9.4</v>
      </c>
      <c r="L6" s="3"/>
      <c r="M6" s="4">
        <f>(F6-G6)/F6</f>
        <v>0.64970059880239517</v>
      </c>
      <c r="N6" s="4">
        <f t="shared" si="0"/>
        <v>-0.62499999999999989</v>
      </c>
    </row>
    <row r="7" spans="1:14" s="2" customFormat="1" x14ac:dyDescent="0.25">
      <c r="A7" s="2">
        <v>30</v>
      </c>
      <c r="B7" s="2">
        <v>100</v>
      </c>
      <c r="E7" s="2">
        <v>71.599999999999994</v>
      </c>
      <c r="F7" s="2" t="s">
        <v>16</v>
      </c>
      <c r="G7" s="2" t="s">
        <v>17</v>
      </c>
      <c r="H7" s="2">
        <v>12.5</v>
      </c>
      <c r="I7" s="2">
        <v>5.2</v>
      </c>
      <c r="J7" s="2">
        <v>11.5</v>
      </c>
      <c r="K7" s="2">
        <v>14.6</v>
      </c>
      <c r="L7" s="3"/>
      <c r="M7" s="4">
        <f>(126.2-109.8)/126.2</f>
        <v>0.12995245641838357</v>
      </c>
      <c r="N7" s="4">
        <f>(E7-109.8)/E7</f>
        <v>-0.53351955307262577</v>
      </c>
    </row>
    <row r="8" spans="1:14" s="2" customFormat="1" x14ac:dyDescent="0.25">
      <c r="A8" s="2">
        <v>30</v>
      </c>
      <c r="B8" s="2">
        <v>500</v>
      </c>
      <c r="E8" s="2">
        <v>73.2</v>
      </c>
      <c r="F8" s="2" t="s">
        <v>8</v>
      </c>
      <c r="G8" s="2" t="s">
        <v>9</v>
      </c>
      <c r="H8" s="2">
        <v>12.5</v>
      </c>
      <c r="I8" s="2">
        <v>5.2</v>
      </c>
      <c r="J8" s="2">
        <v>11.5</v>
      </c>
      <c r="K8" s="2">
        <v>14.3</v>
      </c>
      <c r="L8" s="3"/>
      <c r="M8" s="4">
        <f>(122.8-76.5)/122.8</f>
        <v>0.37703583061889251</v>
      </c>
      <c r="N8" s="4">
        <f>(E8-76.5)/E8</f>
        <v>-4.5081967213114714E-2</v>
      </c>
    </row>
    <row r="9" spans="1:14" s="2" customFormat="1" x14ac:dyDescent="0.25">
      <c r="A9" s="2">
        <v>30</v>
      </c>
      <c r="B9" s="2">
        <v>1000</v>
      </c>
      <c r="E9" s="2">
        <v>83.2</v>
      </c>
      <c r="F9" s="2" t="s">
        <v>18</v>
      </c>
      <c r="G9" s="2" t="s">
        <v>19</v>
      </c>
      <c r="H9" s="2">
        <v>13.4</v>
      </c>
      <c r="I9" s="2">
        <v>5</v>
      </c>
      <c r="J9" s="2">
        <v>12.4</v>
      </c>
      <c r="K9" s="2">
        <v>13.4</v>
      </c>
      <c r="L9" s="3"/>
      <c r="M9" s="4">
        <f>(310.1-86.9)/310.1</f>
        <v>0.71976781683327962</v>
      </c>
      <c r="N9" s="4">
        <f>(E9-86.9)/E9</f>
        <v>-4.4471153846153876E-2</v>
      </c>
    </row>
    <row r="10" spans="1:14" s="2" customFormat="1" x14ac:dyDescent="0.25">
      <c r="A10" s="2">
        <v>30</v>
      </c>
      <c r="B10" s="2">
        <v>5000</v>
      </c>
      <c r="E10" s="2">
        <v>77.099999999999994</v>
      </c>
      <c r="F10" s="2" t="s">
        <v>40</v>
      </c>
      <c r="G10" s="2" t="s">
        <v>41</v>
      </c>
      <c r="H10" s="2">
        <v>12.5</v>
      </c>
      <c r="I10" s="2">
        <v>5.2</v>
      </c>
      <c r="J10" s="2">
        <v>11.5</v>
      </c>
      <c r="K10" s="2">
        <v>14.6</v>
      </c>
      <c r="L10" s="3"/>
      <c r="M10" s="4">
        <f>(201.7-100.9)/201.7</f>
        <v>0.49975210708973716</v>
      </c>
      <c r="N10" s="4">
        <f>(E10-100.9)/E10</f>
        <v>-0.30869001297016879</v>
      </c>
    </row>
    <row r="11" spans="1:14" s="2" customFormat="1" x14ac:dyDescent="0.25">
      <c r="A11" s="2">
        <v>40</v>
      </c>
      <c r="B11" s="2">
        <v>100</v>
      </c>
      <c r="E11" s="2">
        <v>472</v>
      </c>
      <c r="F11" s="2" t="s">
        <v>10</v>
      </c>
      <c r="G11" s="2" t="s">
        <v>11</v>
      </c>
      <c r="H11" s="2">
        <v>9.3000000000000007</v>
      </c>
      <c r="I11" s="2">
        <v>4.4000000000000004</v>
      </c>
      <c r="J11" s="2">
        <v>8.3000000000000007</v>
      </c>
      <c r="K11" s="2">
        <v>10.9</v>
      </c>
      <c r="L11" s="3"/>
      <c r="M11" s="4">
        <f>(309.7-209.2)/309.7</f>
        <v>0.32450758798837587</v>
      </c>
      <c r="N11" s="4">
        <f>(E11-209.2)/E11</f>
        <v>0.5567796610169492</v>
      </c>
    </row>
    <row r="12" spans="1:14" s="2" customFormat="1" x14ac:dyDescent="0.25">
      <c r="A12" s="2">
        <v>40</v>
      </c>
      <c r="B12" s="2">
        <v>500</v>
      </c>
      <c r="E12" s="2">
        <v>428.8</v>
      </c>
      <c r="F12" s="2" t="s">
        <v>14</v>
      </c>
      <c r="G12" s="2" t="s">
        <v>15</v>
      </c>
      <c r="H12" s="2">
        <v>9.3000000000000007</v>
      </c>
      <c r="I12" s="2">
        <v>4.3</v>
      </c>
      <c r="J12" s="2">
        <v>8.3000000000000007</v>
      </c>
      <c r="K12" s="2">
        <v>11</v>
      </c>
      <c r="L12" s="3"/>
      <c r="M12" s="4">
        <f>(409.9-122.4)/409.9</f>
        <v>0.70139058306904123</v>
      </c>
      <c r="N12" s="4">
        <f>(E12-122.4)/E12</f>
        <v>0.71455223880597007</v>
      </c>
    </row>
    <row r="13" spans="1:14" s="2" customFormat="1" x14ac:dyDescent="0.25">
      <c r="A13" s="2">
        <v>40</v>
      </c>
      <c r="B13" s="2">
        <v>1000</v>
      </c>
      <c r="E13" s="2">
        <v>375.6</v>
      </c>
      <c r="F13" s="2" t="s">
        <v>24</v>
      </c>
      <c r="G13" s="2" t="s">
        <v>25</v>
      </c>
      <c r="H13" s="2">
        <v>9.3000000000000007</v>
      </c>
      <c r="I13" s="2">
        <v>4.4000000000000004</v>
      </c>
      <c r="J13" s="2">
        <v>8.3000000000000007</v>
      </c>
      <c r="K13" s="2">
        <v>11</v>
      </c>
      <c r="L13" s="3"/>
      <c r="M13" s="4">
        <f>(262.8-122)/262.8</f>
        <v>0.53576864535768642</v>
      </c>
      <c r="N13" s="4">
        <f>(E13-122)/E13</f>
        <v>0.67518636847710334</v>
      </c>
    </row>
    <row r="14" spans="1:14" s="2" customFormat="1" x14ac:dyDescent="0.25">
      <c r="A14" s="2">
        <v>40</v>
      </c>
      <c r="B14" s="2">
        <v>5000</v>
      </c>
      <c r="E14" s="2">
        <v>422.5</v>
      </c>
      <c r="F14" s="2" t="s">
        <v>38</v>
      </c>
      <c r="G14" s="2" t="s">
        <v>39</v>
      </c>
      <c r="H14" s="2">
        <v>7.4</v>
      </c>
      <c r="I14" s="2">
        <v>4.9000000000000004</v>
      </c>
      <c r="J14" s="2">
        <v>6.4</v>
      </c>
      <c r="K14" s="2">
        <v>13.4</v>
      </c>
      <c r="L14" s="3"/>
      <c r="M14" s="4">
        <f>(167.6-535.8)/167.6</f>
        <v>-2.1968973747016705</v>
      </c>
      <c r="N14" s="4">
        <f>(E14-535.8)/E14</f>
        <v>-0.26816568047337269</v>
      </c>
    </row>
    <row r="15" spans="1:14" s="2" customFormat="1" x14ac:dyDescent="0.25">
      <c r="A15" s="2">
        <v>50</v>
      </c>
      <c r="B15" s="2">
        <v>100</v>
      </c>
      <c r="E15" s="2">
        <v>805.3</v>
      </c>
      <c r="F15" s="2" t="s">
        <v>20</v>
      </c>
      <c r="G15" s="2" t="s">
        <v>21</v>
      </c>
      <c r="H15" s="2">
        <v>12.5</v>
      </c>
      <c r="I15" s="2">
        <v>4.7</v>
      </c>
      <c r="J15" s="2">
        <v>11.5</v>
      </c>
      <c r="K15" s="2">
        <v>12.2</v>
      </c>
      <c r="L15" s="3"/>
      <c r="M15" s="4">
        <f>(645.6-98.8)/645.6</f>
        <v>0.84696406443618344</v>
      </c>
      <c r="N15" s="4">
        <f>(E15-98.8)/E15</f>
        <v>0.87731280268223022</v>
      </c>
    </row>
    <row r="16" spans="1:14" s="2" customFormat="1" x14ac:dyDescent="0.25">
      <c r="A16" s="2">
        <v>50</v>
      </c>
      <c r="B16" s="2">
        <v>500</v>
      </c>
      <c r="E16" s="2">
        <v>1049.0999999999999</v>
      </c>
      <c r="F16" s="2" t="s">
        <v>22</v>
      </c>
      <c r="G16" s="2" t="s">
        <v>23</v>
      </c>
      <c r="H16" s="2">
        <v>10.199999999999999</v>
      </c>
      <c r="I16" s="2">
        <v>5.5</v>
      </c>
      <c r="J16" s="2">
        <v>9.1999999999999993</v>
      </c>
      <c r="K16" s="2">
        <v>15.1</v>
      </c>
      <c r="L16" s="3"/>
      <c r="M16" s="4">
        <f>(289.7-358)/289.7</f>
        <v>-0.23576113220573011</v>
      </c>
      <c r="N16" s="4">
        <f>(E16-358)/E16</f>
        <v>0.65875512343913833</v>
      </c>
    </row>
    <row r="17" spans="1:14" s="2" customFormat="1" x14ac:dyDescent="0.25">
      <c r="A17" s="2">
        <v>50</v>
      </c>
      <c r="B17" s="2">
        <v>1000</v>
      </c>
      <c r="E17" s="2">
        <v>991.6</v>
      </c>
      <c r="F17" s="2" t="s">
        <v>12</v>
      </c>
      <c r="G17" s="2" t="s">
        <v>13</v>
      </c>
      <c r="H17" s="2">
        <v>10.199999999999999</v>
      </c>
      <c r="I17" s="2">
        <v>5.4</v>
      </c>
      <c r="J17" s="2">
        <v>9.1999999999999993</v>
      </c>
      <c r="K17" s="2">
        <v>15</v>
      </c>
      <c r="M17" s="2">
        <f>(255.5-574.7)/255.5</f>
        <v>-1.2493150684931509</v>
      </c>
      <c r="N17" s="2">
        <f>(E17-574.7)/E17</f>
        <v>0.42043162565550624</v>
      </c>
    </row>
    <row r="18" spans="1:14" s="2" customFormat="1" x14ac:dyDescent="0.25">
      <c r="A18" s="2">
        <v>50</v>
      </c>
      <c r="B18" s="2">
        <v>5000</v>
      </c>
      <c r="E18" s="2">
        <v>1288.2</v>
      </c>
      <c r="F18" s="2" t="s">
        <v>33</v>
      </c>
      <c r="G18" s="2" t="s">
        <v>34</v>
      </c>
      <c r="H18" s="2">
        <v>10.199999999999999</v>
      </c>
      <c r="I18" s="2">
        <v>4.9000000000000004</v>
      </c>
      <c r="J18" s="2">
        <v>9.1999999999999993</v>
      </c>
      <c r="K18" s="2">
        <v>13.6</v>
      </c>
      <c r="M18" s="2">
        <f>(294.4-175.7)/294.4</f>
        <v>0.4031929347826087</v>
      </c>
      <c r="N18" s="2">
        <f>(E18-175.7)/E18</f>
        <v>0.86360813538270453</v>
      </c>
    </row>
    <row r="19" spans="1:14" s="2" customFormat="1" x14ac:dyDescent="0.25">
      <c r="A19" s="2">
        <v>80</v>
      </c>
      <c r="B19" s="2">
        <v>500</v>
      </c>
      <c r="E19" s="2" t="s">
        <v>29</v>
      </c>
      <c r="F19" s="2" t="s">
        <v>30</v>
      </c>
      <c r="G19" s="2" t="s">
        <v>31</v>
      </c>
      <c r="H19" s="2">
        <v>11.5</v>
      </c>
      <c r="I19" s="2">
        <v>5.2</v>
      </c>
      <c r="J19" s="2">
        <v>10.5</v>
      </c>
      <c r="K19" s="2">
        <v>16.2</v>
      </c>
      <c r="M19" s="2">
        <f>(483.6-285.8)/483.6</f>
        <v>0.4090157154673284</v>
      </c>
      <c r="N19" s="2">
        <f>(1621.9-285.8)/1621.9</f>
        <v>0.82378691657932057</v>
      </c>
    </row>
    <row r="20" spans="1:14" s="2" customFormat="1" x14ac:dyDescent="0.25">
      <c r="A20" s="2">
        <v>80</v>
      </c>
      <c r="B20" s="2">
        <v>1000</v>
      </c>
      <c r="E20" s="2" t="s">
        <v>26</v>
      </c>
      <c r="F20" s="2" t="s">
        <v>27</v>
      </c>
      <c r="G20" s="2" t="s">
        <v>28</v>
      </c>
      <c r="H20" s="2">
        <v>11.5</v>
      </c>
      <c r="I20" s="2">
        <v>5.2</v>
      </c>
      <c r="J20" s="2">
        <v>10.5</v>
      </c>
      <c r="K20" s="2">
        <v>15.8</v>
      </c>
      <c r="M20" s="2">
        <f>(446.5-266.5)/446.5</f>
        <v>0.40313549832026874</v>
      </c>
      <c r="N20" s="2">
        <f>(1993.3-266.5)/1993.3</f>
        <v>0.86630211207545271</v>
      </c>
    </row>
    <row r="21" spans="1:14" s="2" customFormat="1" x14ac:dyDescent="0.25">
      <c r="A21" s="2">
        <v>80</v>
      </c>
      <c r="B21" s="2">
        <v>5000</v>
      </c>
      <c r="E21" s="2" t="s">
        <v>35</v>
      </c>
      <c r="F21" s="2" t="s">
        <v>36</v>
      </c>
      <c r="G21" s="2" t="s">
        <v>37</v>
      </c>
      <c r="H21" s="2">
        <v>11.5</v>
      </c>
      <c r="I21" s="2">
        <v>5.2</v>
      </c>
      <c r="J21" s="2">
        <v>10.5</v>
      </c>
      <c r="K21" s="2">
        <v>15.8</v>
      </c>
      <c r="M21" s="2">
        <f>(512.9-324.6)/512.9</f>
        <v>0.36712809514525241</v>
      </c>
      <c r="N21" s="2">
        <f>(2173-324.6)/2173</f>
        <v>0.85062126092959045</v>
      </c>
    </row>
  </sheetData>
  <mergeCells count="3">
    <mergeCell ref="E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2026-03-12T12:13:31Z</dcterms:modified>
</cp:coreProperties>
</file>