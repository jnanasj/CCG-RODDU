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results\random_recourse\"/>
    </mc:Choice>
  </mc:AlternateContent>
  <xr:revisionPtr revIDLastSave="0" documentId="13_ncr:1_{4E70B7CA-5334-4DE5-941C-C62EDC0EF3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5" i="1"/>
  <c r="M20" i="1"/>
  <c r="M19" i="1"/>
  <c r="M18" i="1"/>
  <c r="M6" i="1"/>
  <c r="M4" i="1"/>
  <c r="M5" i="1"/>
  <c r="M7" i="1"/>
  <c r="M8" i="1"/>
  <c r="M10" i="1"/>
  <c r="M11" i="1"/>
  <c r="M12" i="1"/>
  <c r="M13" i="1"/>
  <c r="M14" i="1"/>
  <c r="M16" i="1"/>
  <c r="M17" i="1"/>
  <c r="M3" i="1"/>
</calcChain>
</file>

<file path=xl/sharedStrings.xml><?xml version="1.0" encoding="utf-8"?>
<sst xmlns="http://schemas.openxmlformats.org/spreadsheetml/2006/main" count="29" uniqueCount="18">
  <si>
    <t>M</t>
  </si>
  <si>
    <t>N</t>
  </si>
  <si>
    <t>alpha</t>
  </si>
  <si>
    <t>Reformulation</t>
  </si>
  <si>
    <t>Average computation time (s)</t>
  </si>
  <si>
    <t>T</t>
  </si>
  <si>
    <t>Single cut PCP</t>
  </si>
  <si>
    <t>Multi-cut PCP</t>
  </si>
  <si>
    <t># iters</t>
  </si>
  <si>
    <t># cuts</t>
  </si>
  <si>
    <t>140.8(9)</t>
  </si>
  <si>
    <t>740.6(8)</t>
  </si>
  <si>
    <t>1015.0(4)</t>
  </si>
  <si>
    <t>- (10)</t>
  </si>
  <si>
    <t>-</t>
  </si>
  <si>
    <t>3018.2(9)</t>
  </si>
  <si>
    <t>1432.4(5)</t>
  </si>
  <si>
    <t>2567.8(8)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</si>
</sst>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H37" sqref="H37"/>
    </sheetView>
  </sheetViews>
  <sheetFormatPr defaultRowHeight="15" x14ac:dyDescent="0.25"/>
  <cols>
    <col min="5" max="5" width="18.28515625" customWidth="1"/>
    <col min="6" max="6" width="13.7109375" customWidth="1"/>
    <col min="7" max="7" width="14" customWidth="1"/>
    <col min="8" max="9" width="14.5703125" customWidth="1"/>
    <col min="10" max="10" width="14.85546875" customWidth="1"/>
    <col min="11" max="11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5</v>
      </c>
      <c r="D1" s="1" t="s">
        <v>2</v>
      </c>
      <c r="E1" s="5" t="s">
        <v>4</v>
      </c>
      <c r="F1" s="5"/>
      <c r="G1" s="5"/>
      <c r="H1" s="5" t="s">
        <v>8</v>
      </c>
      <c r="I1" s="5"/>
      <c r="J1" s="5" t="s">
        <v>9</v>
      </c>
      <c r="K1" s="5"/>
    </row>
    <row r="2" spans="1:14" s="1" customFormat="1" x14ac:dyDescent="0.25">
      <c r="E2" s="1" t="s">
        <v>3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4" x14ac:dyDescent="0.25">
      <c r="A3" s="4">
        <v>10</v>
      </c>
      <c r="B3" s="4">
        <v>20</v>
      </c>
      <c r="C3" s="4">
        <v>5</v>
      </c>
      <c r="D3" s="4">
        <v>0.25</v>
      </c>
      <c r="E3" s="4">
        <v>10.3</v>
      </c>
      <c r="F3" s="4">
        <v>22.9</v>
      </c>
      <c r="G3" s="4">
        <v>5.5</v>
      </c>
      <c r="H3" s="4">
        <v>10.5</v>
      </c>
      <c r="I3" s="4">
        <v>2</v>
      </c>
      <c r="J3" s="4">
        <v>9.5</v>
      </c>
      <c r="K3" s="4">
        <v>10</v>
      </c>
      <c r="L3" s="3"/>
      <c r="M3" s="2">
        <f>(E3-G3)/E3</f>
        <v>0.46601941747572817</v>
      </c>
      <c r="N3" s="2"/>
    </row>
    <row r="4" spans="1:14" x14ac:dyDescent="0.25">
      <c r="A4" s="4">
        <v>10</v>
      </c>
      <c r="B4" s="4">
        <v>20</v>
      </c>
      <c r="C4" s="4">
        <v>5</v>
      </c>
      <c r="D4" s="4">
        <v>0.5</v>
      </c>
      <c r="E4" s="4">
        <v>2.7</v>
      </c>
      <c r="F4" s="4">
        <v>13.1</v>
      </c>
      <c r="G4" s="4">
        <v>4.2</v>
      </c>
      <c r="H4" s="4">
        <v>10</v>
      </c>
      <c r="I4" s="4">
        <v>2</v>
      </c>
      <c r="J4" s="4">
        <v>9</v>
      </c>
      <c r="K4" s="4">
        <v>10</v>
      </c>
      <c r="L4" s="3"/>
      <c r="M4" s="2">
        <f t="shared" ref="M4:M20" si="0">(E4-G4)/E4</f>
        <v>-0.55555555555555547</v>
      </c>
      <c r="N4" s="2"/>
    </row>
    <row r="5" spans="1:14" x14ac:dyDescent="0.25">
      <c r="A5" s="4">
        <v>10</v>
      </c>
      <c r="B5" s="4">
        <v>20</v>
      </c>
      <c r="C5" s="4">
        <v>5</v>
      </c>
      <c r="D5" s="4">
        <v>0.75</v>
      </c>
      <c r="E5" s="4">
        <v>3</v>
      </c>
      <c r="F5" s="4">
        <v>12.3</v>
      </c>
      <c r="G5" s="4">
        <v>4.0999999999999996</v>
      </c>
      <c r="H5" s="4">
        <v>9.1999999999999993</v>
      </c>
      <c r="I5" s="4">
        <v>2</v>
      </c>
      <c r="J5" s="4">
        <v>8.1999999999999993</v>
      </c>
      <c r="K5" s="4">
        <v>10</v>
      </c>
      <c r="L5" s="3"/>
      <c r="M5" s="2">
        <f t="shared" si="0"/>
        <v>-0.36666666666666653</v>
      </c>
      <c r="N5" s="2"/>
    </row>
    <row r="6" spans="1:14" x14ac:dyDescent="0.25">
      <c r="A6" s="4">
        <v>10</v>
      </c>
      <c r="B6" s="4">
        <v>20</v>
      </c>
      <c r="C6" s="4">
        <v>10</v>
      </c>
      <c r="D6" s="4">
        <v>0.25</v>
      </c>
      <c r="E6" s="4" t="s">
        <v>11</v>
      </c>
      <c r="F6" s="4">
        <v>72.900000000000006</v>
      </c>
      <c r="G6" s="4">
        <v>18</v>
      </c>
      <c r="H6" s="4">
        <v>10.1</v>
      </c>
      <c r="I6" s="4">
        <v>2</v>
      </c>
      <c r="J6" s="4">
        <v>9.1</v>
      </c>
      <c r="K6" s="4">
        <v>10</v>
      </c>
      <c r="L6" s="3"/>
      <c r="M6" s="2">
        <f>(740.6-G6)/740.6</f>
        <v>0.97569538212260332</v>
      </c>
      <c r="N6" s="2"/>
    </row>
    <row r="7" spans="1:14" x14ac:dyDescent="0.25">
      <c r="A7" s="4">
        <v>10</v>
      </c>
      <c r="B7" s="4">
        <v>20</v>
      </c>
      <c r="C7" s="4">
        <v>10</v>
      </c>
      <c r="D7" s="4">
        <v>0.5</v>
      </c>
      <c r="E7" s="4">
        <v>5.7</v>
      </c>
      <c r="F7" s="4">
        <v>46.1</v>
      </c>
      <c r="G7" s="4">
        <v>8.3000000000000007</v>
      </c>
      <c r="H7" s="4">
        <v>9.8000000000000007</v>
      </c>
      <c r="I7" s="4">
        <v>2</v>
      </c>
      <c r="J7" s="4">
        <v>8.8000000000000007</v>
      </c>
      <c r="K7" s="4">
        <v>10</v>
      </c>
      <c r="L7" s="3"/>
      <c r="M7" s="2">
        <f t="shared" si="0"/>
        <v>-0.45614035087719307</v>
      </c>
      <c r="N7" s="2"/>
    </row>
    <row r="8" spans="1:14" x14ac:dyDescent="0.25">
      <c r="A8" s="4">
        <v>10</v>
      </c>
      <c r="B8" s="4">
        <v>20</v>
      </c>
      <c r="C8" s="4">
        <v>10</v>
      </c>
      <c r="D8" s="4">
        <v>0.75</v>
      </c>
      <c r="E8" s="4">
        <v>5.4</v>
      </c>
      <c r="F8" s="4">
        <v>16.600000000000001</v>
      </c>
      <c r="G8" s="4">
        <v>6.9</v>
      </c>
      <c r="H8" s="4">
        <v>7.9</v>
      </c>
      <c r="I8" s="4">
        <v>2</v>
      </c>
      <c r="J8" s="4">
        <v>6.9</v>
      </c>
      <c r="K8" s="4">
        <v>10</v>
      </c>
      <c r="L8" s="3"/>
      <c r="M8" s="2">
        <f t="shared" si="0"/>
        <v>-0.27777777777777773</v>
      </c>
      <c r="N8" s="2"/>
    </row>
    <row r="9" spans="1:14" x14ac:dyDescent="0.25">
      <c r="A9" s="4">
        <v>20</v>
      </c>
      <c r="B9" s="4">
        <v>20</v>
      </c>
      <c r="C9" s="4">
        <v>10</v>
      </c>
      <c r="D9" s="4">
        <v>0.25</v>
      </c>
      <c r="E9" s="4" t="s">
        <v>10</v>
      </c>
      <c r="F9" s="4" t="s">
        <v>15</v>
      </c>
      <c r="G9" s="4" t="s">
        <v>16</v>
      </c>
      <c r="H9" s="4">
        <v>12</v>
      </c>
      <c r="I9" s="4">
        <v>2</v>
      </c>
      <c r="J9" s="4">
        <v>11</v>
      </c>
      <c r="K9" s="4">
        <v>20</v>
      </c>
      <c r="L9" s="3"/>
      <c r="M9" s="2">
        <f>(140-1432)/140</f>
        <v>-9.2285714285714278</v>
      </c>
      <c r="N9" s="2"/>
    </row>
    <row r="10" spans="1:14" x14ac:dyDescent="0.25">
      <c r="A10" s="4">
        <v>20</v>
      </c>
      <c r="B10" s="4">
        <v>20</v>
      </c>
      <c r="C10" s="4">
        <v>10</v>
      </c>
      <c r="D10" s="4">
        <v>0.5</v>
      </c>
      <c r="E10" s="4">
        <v>72.7</v>
      </c>
      <c r="F10" s="4">
        <v>66.900000000000006</v>
      </c>
      <c r="G10" s="4">
        <v>29.1</v>
      </c>
      <c r="H10" s="4">
        <v>10.3</v>
      </c>
      <c r="I10" s="4">
        <v>2</v>
      </c>
      <c r="J10" s="4">
        <v>9.3000000000000007</v>
      </c>
      <c r="K10" s="4">
        <v>20</v>
      </c>
      <c r="L10" s="3"/>
      <c r="M10" s="2">
        <f t="shared" si="0"/>
        <v>0.59972489683631358</v>
      </c>
      <c r="N10" s="2"/>
    </row>
    <row r="11" spans="1:14" x14ac:dyDescent="0.25">
      <c r="A11" s="4">
        <v>20</v>
      </c>
      <c r="B11" s="4">
        <v>20</v>
      </c>
      <c r="C11" s="4">
        <v>10</v>
      </c>
      <c r="D11" s="4">
        <v>0.75</v>
      </c>
      <c r="E11" s="4">
        <v>33.1</v>
      </c>
      <c r="F11" s="4">
        <v>32.700000000000003</v>
      </c>
      <c r="G11" s="4">
        <v>19.3</v>
      </c>
      <c r="H11" s="4">
        <v>10.1</v>
      </c>
      <c r="I11" s="4">
        <v>2</v>
      </c>
      <c r="J11" s="4">
        <v>9.1</v>
      </c>
      <c r="K11" s="4">
        <v>20</v>
      </c>
      <c r="L11" s="3"/>
      <c r="M11" s="2">
        <f t="shared" si="0"/>
        <v>0.41691842900302117</v>
      </c>
      <c r="N11" s="2"/>
    </row>
    <row r="12" spans="1:14" x14ac:dyDescent="0.25">
      <c r="A12" s="4">
        <v>20</v>
      </c>
      <c r="B12" s="4">
        <v>50</v>
      </c>
      <c r="C12" s="4">
        <v>10</v>
      </c>
      <c r="D12" s="4">
        <v>0.25</v>
      </c>
      <c r="E12" s="4">
        <v>26.3</v>
      </c>
      <c r="F12" s="4">
        <v>284.10000000000002</v>
      </c>
      <c r="G12" s="4">
        <v>28.1</v>
      </c>
      <c r="H12" s="4">
        <v>20.8</v>
      </c>
      <c r="I12" s="4">
        <v>2</v>
      </c>
      <c r="J12" s="4">
        <v>19.8</v>
      </c>
      <c r="K12" s="4">
        <v>20</v>
      </c>
      <c r="L12" s="3"/>
      <c r="M12" s="2">
        <f t="shared" si="0"/>
        <v>-6.84410646387833E-2</v>
      </c>
      <c r="N12" s="2"/>
    </row>
    <row r="13" spans="1:14" x14ac:dyDescent="0.25">
      <c r="A13" s="4">
        <v>20</v>
      </c>
      <c r="B13" s="4">
        <v>50</v>
      </c>
      <c r="C13" s="4">
        <v>10</v>
      </c>
      <c r="D13" s="4">
        <v>0.5</v>
      </c>
      <c r="E13" s="4">
        <v>45</v>
      </c>
      <c r="F13" s="4">
        <v>393.7</v>
      </c>
      <c r="G13" s="4">
        <v>28.7</v>
      </c>
      <c r="H13" s="4">
        <v>22.6</v>
      </c>
      <c r="I13" s="4">
        <v>2</v>
      </c>
      <c r="J13" s="4">
        <v>21.6</v>
      </c>
      <c r="K13" s="4">
        <v>20</v>
      </c>
      <c r="L13" s="3"/>
      <c r="M13" s="2">
        <f t="shared" si="0"/>
        <v>0.36222222222222222</v>
      </c>
      <c r="N13" s="2"/>
    </row>
    <row r="14" spans="1:14" x14ac:dyDescent="0.25">
      <c r="A14" s="4">
        <v>20</v>
      </c>
      <c r="B14" s="4">
        <v>50</v>
      </c>
      <c r="C14" s="4">
        <v>10</v>
      </c>
      <c r="D14" s="4">
        <v>0.75</v>
      </c>
      <c r="E14" s="4">
        <v>70.599999999999994</v>
      </c>
      <c r="F14" s="4">
        <v>335.3</v>
      </c>
      <c r="G14" s="4">
        <v>27.4</v>
      </c>
      <c r="H14" s="4">
        <v>22.2</v>
      </c>
      <c r="I14" s="4">
        <v>2</v>
      </c>
      <c r="J14" s="4">
        <v>21.2</v>
      </c>
      <c r="K14" s="4">
        <v>20</v>
      </c>
      <c r="L14" s="3"/>
      <c r="M14" s="2">
        <f t="shared" si="0"/>
        <v>0.61189801699716717</v>
      </c>
      <c r="N14" s="2"/>
    </row>
    <row r="15" spans="1:14" x14ac:dyDescent="0.25">
      <c r="A15" s="4">
        <v>20</v>
      </c>
      <c r="B15" s="4">
        <v>50</v>
      </c>
      <c r="C15" s="4">
        <v>20</v>
      </c>
      <c r="D15" s="4">
        <v>0.25</v>
      </c>
      <c r="E15" s="4" t="s">
        <v>12</v>
      </c>
      <c r="F15" s="4">
        <v>611.1</v>
      </c>
      <c r="G15" s="4">
        <v>67</v>
      </c>
      <c r="H15" s="4">
        <v>20.8</v>
      </c>
      <c r="I15" s="4">
        <v>2</v>
      </c>
      <c r="J15" s="4">
        <v>19.8</v>
      </c>
      <c r="K15" s="4">
        <v>20</v>
      </c>
      <c r="L15" s="3"/>
      <c r="M15" s="2">
        <f>(1015-G15)/1015</f>
        <v>0.93399014778325118</v>
      </c>
      <c r="N15" s="2"/>
    </row>
    <row r="16" spans="1:14" x14ac:dyDescent="0.25">
      <c r="A16" s="4">
        <v>20</v>
      </c>
      <c r="B16" s="4">
        <v>50</v>
      </c>
      <c r="C16" s="4">
        <v>20</v>
      </c>
      <c r="D16" s="4">
        <v>0.5</v>
      </c>
      <c r="E16" s="4">
        <v>103.3</v>
      </c>
      <c r="F16" s="4">
        <v>659.5</v>
      </c>
      <c r="G16" s="4">
        <v>79.900000000000006</v>
      </c>
      <c r="H16" s="4">
        <v>20.399999999999999</v>
      </c>
      <c r="I16" s="4">
        <v>2</v>
      </c>
      <c r="J16" s="4">
        <v>19.399999999999999</v>
      </c>
      <c r="K16" s="4">
        <v>20</v>
      </c>
      <c r="L16" s="3"/>
      <c r="M16" s="2">
        <f t="shared" si="0"/>
        <v>0.22652468538238132</v>
      </c>
      <c r="N16" s="2"/>
    </row>
    <row r="17" spans="1:14" x14ac:dyDescent="0.25">
      <c r="A17" s="4">
        <v>20</v>
      </c>
      <c r="B17" s="4">
        <v>50</v>
      </c>
      <c r="C17" s="4">
        <v>20</v>
      </c>
      <c r="D17" s="4">
        <v>0.75</v>
      </c>
      <c r="E17" s="4">
        <v>166.7</v>
      </c>
      <c r="F17" s="4">
        <v>375.1</v>
      </c>
      <c r="G17" s="4">
        <v>60.4</v>
      </c>
      <c r="H17" s="4">
        <v>17.899999999999999</v>
      </c>
      <c r="I17" s="4">
        <v>2</v>
      </c>
      <c r="J17" s="4">
        <v>16.899999999999999</v>
      </c>
      <c r="K17" s="4">
        <v>20</v>
      </c>
      <c r="L17" s="3"/>
      <c r="M17" s="2">
        <f t="shared" si="0"/>
        <v>0.6376724655068986</v>
      </c>
      <c r="N17" s="2"/>
    </row>
    <row r="18" spans="1:14" x14ac:dyDescent="0.25">
      <c r="A18" s="4">
        <v>50</v>
      </c>
      <c r="B18" s="4">
        <v>100</v>
      </c>
      <c r="C18" s="4">
        <v>50</v>
      </c>
      <c r="D18" s="4">
        <v>0.25</v>
      </c>
      <c r="E18" s="4" t="s">
        <v>13</v>
      </c>
      <c r="F18" s="4" t="s">
        <v>13</v>
      </c>
      <c r="G18" s="4">
        <v>1594.2</v>
      </c>
      <c r="H18" s="4" t="s">
        <v>14</v>
      </c>
      <c r="I18" s="4">
        <v>2</v>
      </c>
      <c r="J18" s="4" t="s">
        <v>14</v>
      </c>
      <c r="K18" s="4">
        <v>50</v>
      </c>
      <c r="M18" s="2">
        <f>(3600-G18)/3600</f>
        <v>0.5571666666666667</v>
      </c>
    </row>
    <row r="19" spans="1:14" x14ac:dyDescent="0.25">
      <c r="A19" s="4">
        <v>50</v>
      </c>
      <c r="B19" s="4">
        <v>100</v>
      </c>
      <c r="C19" s="4">
        <v>50</v>
      </c>
      <c r="D19" s="4">
        <v>0.5</v>
      </c>
      <c r="E19" s="4" t="s">
        <v>13</v>
      </c>
      <c r="F19" s="4" t="s">
        <v>13</v>
      </c>
      <c r="G19" s="4">
        <v>1493</v>
      </c>
      <c r="H19" s="4" t="s">
        <v>14</v>
      </c>
      <c r="I19" s="4">
        <v>2</v>
      </c>
      <c r="J19" s="4" t="s">
        <v>14</v>
      </c>
      <c r="K19" s="4">
        <v>50</v>
      </c>
      <c r="M19" s="2">
        <f>(3600-G19)/3600</f>
        <v>0.58527777777777779</v>
      </c>
    </row>
    <row r="20" spans="1:14" x14ac:dyDescent="0.25">
      <c r="A20" s="4">
        <v>50</v>
      </c>
      <c r="B20" s="4">
        <v>100</v>
      </c>
      <c r="C20" s="4">
        <v>50</v>
      </c>
      <c r="D20" s="4">
        <v>0.75</v>
      </c>
      <c r="E20" s="4" t="s">
        <v>13</v>
      </c>
      <c r="F20" s="4" t="s">
        <v>17</v>
      </c>
      <c r="G20" s="4">
        <v>1189.3</v>
      </c>
      <c r="H20" s="4">
        <v>17.5</v>
      </c>
      <c r="I20" s="4">
        <v>2</v>
      </c>
      <c r="J20" s="4">
        <v>16.5</v>
      </c>
      <c r="K20" s="4">
        <v>50</v>
      </c>
      <c r="M20" s="2">
        <f>(3600-G20)/3600</f>
        <v>0.66963888888888878</v>
      </c>
    </row>
  </sheetData>
  <mergeCells count="3">
    <mergeCell ref="E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2026-02-10T22:08:52Z</dcterms:modified>
</cp:coreProperties>
</file>