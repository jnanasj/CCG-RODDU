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DNEL\results\"/>
    </mc:Choice>
  </mc:AlternateContent>
  <xr:revisionPtr revIDLastSave="0" documentId="13_ncr:1_{67A6C08D-DC4F-43EE-B51F-BD33D16D66B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sults" sheetId="1" r:id="rId1"/>
    <sheet name="5bus" sheetId="2" r:id="rId2"/>
    <sheet name="39bus" sheetId="3" r:id="rId3"/>
    <sheet name="118bu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6" i="1"/>
  <c r="J3" i="1"/>
</calcChain>
</file>

<file path=xl/sharedStrings.xml><?xml version="1.0" encoding="utf-8"?>
<sst xmlns="http://schemas.openxmlformats.org/spreadsheetml/2006/main" count="100" uniqueCount="37">
  <si>
    <t>Bus size</t>
  </si>
  <si>
    <t>Reform.</t>
  </si>
  <si>
    <t>N-PCP</t>
  </si>
  <si>
    <t>N-PCP*</t>
  </si>
  <si>
    <t># cons. 
(quad. cons.)</t>
  </si>
  <si>
    <t>Reformulation</t>
  </si>
  <si>
    <t>DNEL limits</t>
  </si>
  <si>
    <t>Y_ij</t>
  </si>
  <si>
    <t>optimality gap</t>
  </si>
  <si>
    <t>MP objective</t>
  </si>
  <si>
    <t>MP gap</t>
  </si>
  <si>
    <t>Worst violation</t>
  </si>
  <si>
    <t>MP solve time (s)</t>
  </si>
  <si>
    <t>status</t>
  </si>
  <si>
    <t>Comp. 
time (s)</t>
  </si>
  <si>
    <t># iters 
(cuts)</t>
  </si>
  <si>
    <t># binary 
variables</t>
  </si>
  <si>
    <t># continuous 
variables</t>
  </si>
  <si>
    <t>PCP with 
projection</t>
  </si>
  <si>
    <t>PCP w/o
projection</t>
  </si>
  <si>
    <t>objective</t>
  </si>
  <si>
    <t>-</t>
  </si>
  <si>
    <t>78(26)</t>
  </si>
  <si>
    <t>OPTIMAL</t>
  </si>
  <si>
    <t>2(6)</t>
  </si>
  <si>
    <t>333(182)</t>
  </si>
  <si>
    <t>201(182)</t>
  </si>
  <si>
    <t>804(134)</t>
  </si>
  <si>
    <t>TIME_LIMIT</t>
  </si>
  <si>
    <t>6(14)</t>
  </si>
  <si>
    <t>2823(2010)</t>
  </si>
  <si>
    <t>5(12)</t>
  </si>
  <si>
    <t>1815(1742)</t>
  </si>
  <si>
    <t>6468(588)</t>
  </si>
  <si>
    <t>8(18)</t>
  </si>
  <si>
    <t>13207(11172)</t>
  </si>
  <si>
    <t>11371(11172)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</si>
</sst>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M5" sqref="M5"/>
    </sheetView>
  </sheetViews>
  <sheetFormatPr defaultRowHeight="15" x14ac:dyDescent="0.25"/>
  <cols>
    <col min="2" max="2" width="10.85546875" customWidth="1"/>
    <col min="3" max="3" width="9.5703125" style="1" customWidth="1"/>
    <col min="4" max="4" width="13.42578125" style="1" customWidth="1"/>
    <col min="5" max="5" width="12.28515625" style="1" customWidth="1"/>
    <col min="6" max="6" width="13.7109375" style="1" customWidth="1"/>
    <col min="7" max="7" width="14.5703125" style="1" customWidth="1"/>
  </cols>
  <sheetData>
    <row r="1" spans="1:10" s="2" customFormat="1" ht="34.5" customHeight="1" x14ac:dyDescent="0.25">
      <c r="A1" s="2" t="s">
        <v>0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4</v>
      </c>
      <c r="H1" s="2" t="s">
        <v>13</v>
      </c>
    </row>
    <row r="2" spans="1:10" x14ac:dyDescent="0.25">
      <c r="A2" s="9">
        <v>5</v>
      </c>
      <c r="B2" t="s">
        <v>1</v>
      </c>
      <c r="C2" s="8">
        <v>5.6002885950000003</v>
      </c>
      <c r="D2" s="7" t="s">
        <v>21</v>
      </c>
      <c r="E2" s="7">
        <v>0</v>
      </c>
      <c r="F2" s="7">
        <v>114</v>
      </c>
      <c r="G2" s="7" t="s">
        <v>22</v>
      </c>
      <c r="H2" t="s">
        <v>23</v>
      </c>
    </row>
    <row r="3" spans="1:10" x14ac:dyDescent="0.25">
      <c r="A3" s="9"/>
      <c r="B3" t="s">
        <v>2</v>
      </c>
      <c r="C3" s="8">
        <v>4.033384721</v>
      </c>
      <c r="D3" s="7" t="s">
        <v>24</v>
      </c>
      <c r="E3" s="7">
        <v>48</v>
      </c>
      <c r="F3" s="7">
        <v>96</v>
      </c>
      <c r="G3" s="7" t="s">
        <v>25</v>
      </c>
      <c r="H3" t="s">
        <v>23</v>
      </c>
      <c r="J3">
        <f>(C3-C4)/C3</f>
        <v>0.13224246083516614</v>
      </c>
    </row>
    <row r="4" spans="1:10" x14ac:dyDescent="0.25">
      <c r="A4" s="9"/>
      <c r="B4" t="s">
        <v>3</v>
      </c>
      <c r="C4" s="8">
        <v>3.5</v>
      </c>
      <c r="D4" s="7" t="s">
        <v>24</v>
      </c>
      <c r="E4" s="7">
        <v>0</v>
      </c>
      <c r="F4" s="7">
        <v>24</v>
      </c>
      <c r="G4" s="7" t="s">
        <v>26</v>
      </c>
      <c r="H4" t="s">
        <v>23</v>
      </c>
    </row>
    <row r="5" spans="1:10" x14ac:dyDescent="0.25">
      <c r="A5" s="9">
        <v>39</v>
      </c>
      <c r="B5" t="s">
        <v>1</v>
      </c>
      <c r="C5" s="8">
        <v>3600.2169038679999</v>
      </c>
      <c r="D5" s="7" t="s">
        <v>21</v>
      </c>
      <c r="E5" s="7">
        <v>0</v>
      </c>
      <c r="F5" s="7">
        <v>1400</v>
      </c>
      <c r="G5" s="7" t="s">
        <v>27</v>
      </c>
      <c r="H5" t="s">
        <v>28</v>
      </c>
    </row>
    <row r="6" spans="1:10" x14ac:dyDescent="0.25">
      <c r="A6" s="9"/>
      <c r="B6" t="s">
        <v>2</v>
      </c>
      <c r="C6" s="8">
        <v>15.819794884</v>
      </c>
      <c r="D6" s="7" t="s">
        <v>29</v>
      </c>
      <c r="E6" s="7">
        <v>280</v>
      </c>
      <c r="F6" s="7">
        <v>555</v>
      </c>
      <c r="G6" s="7" t="s">
        <v>30</v>
      </c>
      <c r="H6" t="s">
        <v>23</v>
      </c>
      <c r="J6">
        <f>(C6-C7)/C6</f>
        <v>0.94682950669286314</v>
      </c>
    </row>
    <row r="7" spans="1:10" x14ac:dyDescent="0.25">
      <c r="A7" s="9"/>
      <c r="B7" t="s">
        <v>3</v>
      </c>
      <c r="C7" s="8">
        <v>0.84114629799999996</v>
      </c>
      <c r="D7" s="7" t="s">
        <v>31</v>
      </c>
      <c r="E7" s="7">
        <v>0</v>
      </c>
      <c r="F7" s="7">
        <v>125</v>
      </c>
      <c r="G7" s="7" t="s">
        <v>32</v>
      </c>
      <c r="H7" t="s">
        <v>23</v>
      </c>
    </row>
    <row r="8" spans="1:10" x14ac:dyDescent="0.25">
      <c r="A8" s="9">
        <v>188</v>
      </c>
      <c r="B8" t="s">
        <v>1</v>
      </c>
      <c r="C8" s="8">
        <v>3600.5375383549999</v>
      </c>
      <c r="D8" s="7" t="s">
        <v>21</v>
      </c>
      <c r="E8" s="7">
        <v>0</v>
      </c>
      <c r="F8" s="7">
        <v>12320</v>
      </c>
      <c r="G8" s="7" t="s">
        <v>33</v>
      </c>
      <c r="H8" t="s">
        <v>28</v>
      </c>
    </row>
    <row r="9" spans="1:10" x14ac:dyDescent="0.25">
      <c r="A9" s="9"/>
      <c r="B9" t="s">
        <v>2</v>
      </c>
      <c r="C9" s="8">
        <v>142.738293631</v>
      </c>
      <c r="D9" s="7" t="s">
        <v>34</v>
      </c>
      <c r="E9" s="7">
        <v>720</v>
      </c>
      <c r="F9" s="7">
        <v>1830</v>
      </c>
      <c r="G9" s="7" t="s">
        <v>35</v>
      </c>
      <c r="H9" t="s">
        <v>23</v>
      </c>
      <c r="J9">
        <f>(C9-C10)/C9</f>
        <v>0.83414851922498667</v>
      </c>
    </row>
    <row r="10" spans="1:10" x14ac:dyDescent="0.25">
      <c r="A10" s="9"/>
      <c r="B10" t="s">
        <v>3</v>
      </c>
      <c r="C10" s="8">
        <v>23.673357362000001</v>
      </c>
      <c r="D10" s="7" t="s">
        <v>34</v>
      </c>
      <c r="E10" s="7">
        <v>0</v>
      </c>
      <c r="F10" s="7">
        <v>750</v>
      </c>
      <c r="G10" s="7" t="s">
        <v>36</v>
      </c>
      <c r="H10" t="s">
        <v>23</v>
      </c>
    </row>
  </sheetData>
  <mergeCells count="3">
    <mergeCell ref="A2:A4"/>
    <mergeCell ref="A5:A7"/>
    <mergeCell ref="A8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DA83-2ABC-4F96-B2A2-B7ADDEEFF29C}">
  <dimension ref="A1:K18"/>
  <sheetViews>
    <sheetView workbookViewId="0">
      <selection activeCell="C20" sqref="C20"/>
    </sheetView>
  </sheetViews>
  <sheetFormatPr defaultRowHeight="15" x14ac:dyDescent="0.25"/>
  <cols>
    <col min="1" max="1" width="13.85546875" customWidth="1"/>
    <col min="2" max="2" width="18.140625" style="6" customWidth="1"/>
    <col min="3" max="3" width="14.85546875" customWidth="1"/>
    <col min="5" max="5" width="11" customWidth="1"/>
    <col min="7" max="7" width="10.85546875" customWidth="1"/>
    <col min="8" max="8" width="13.28515625" customWidth="1"/>
    <col min="10" max="10" width="17.5703125" customWidth="1"/>
    <col min="11" max="11" width="16.140625" customWidth="1"/>
  </cols>
  <sheetData>
    <row r="1" spans="1:11" x14ac:dyDescent="0.25">
      <c r="A1" s="10" t="s">
        <v>5</v>
      </c>
      <c r="B1" s="5" t="s">
        <v>6</v>
      </c>
      <c r="C1">
        <v>0.74999999953487284</v>
      </c>
      <c r="D1">
        <v>0</v>
      </c>
      <c r="E1">
        <v>1</v>
      </c>
      <c r="F1">
        <v>0.83333333333333337</v>
      </c>
      <c r="G1" s="3"/>
      <c r="H1" s="3"/>
      <c r="I1" s="3"/>
      <c r="J1" s="3"/>
      <c r="K1" s="3"/>
    </row>
    <row r="2" spans="1:11" s="2" customFormat="1" x14ac:dyDescent="0.25">
      <c r="A2" s="10"/>
      <c r="B2" s="5" t="s">
        <v>7</v>
      </c>
      <c r="C2">
        <v>0</v>
      </c>
      <c r="D2">
        <v>0.4</v>
      </c>
      <c r="E2">
        <v>0.50000000052203086</v>
      </c>
      <c r="F2">
        <v>0.38000000018172297</v>
      </c>
      <c r="G2">
        <v>0.49999999947796908</v>
      </c>
      <c r="H2">
        <v>0.21999999981827698</v>
      </c>
    </row>
    <row r="3" spans="1:11" s="2" customFormat="1" x14ac:dyDescent="0.25">
      <c r="A3" s="10"/>
      <c r="B3" s="5" t="s">
        <v>20</v>
      </c>
      <c r="C3">
        <v>-325.00000013953814</v>
      </c>
      <c r="D3"/>
      <c r="E3"/>
      <c r="F3"/>
      <c r="G3"/>
      <c r="H3"/>
    </row>
    <row r="4" spans="1:11" x14ac:dyDescent="0.25">
      <c r="A4" s="10"/>
      <c r="B4" s="5" t="s">
        <v>8</v>
      </c>
      <c r="C4">
        <v>5.7156380520398578E-2</v>
      </c>
    </row>
    <row r="6" spans="1:11" x14ac:dyDescent="0.25">
      <c r="A6" s="11" t="s">
        <v>18</v>
      </c>
      <c r="B6" s="5" t="s">
        <v>6</v>
      </c>
      <c r="C6">
        <v>0.75</v>
      </c>
      <c r="D6">
        <v>0</v>
      </c>
      <c r="E6">
        <v>1</v>
      </c>
      <c r="F6">
        <v>0.83333333333333337</v>
      </c>
    </row>
    <row r="7" spans="1:11" x14ac:dyDescent="0.25">
      <c r="A7" s="10"/>
      <c r="B7" s="5" t="s">
        <v>7</v>
      </c>
      <c r="C7">
        <v>0</v>
      </c>
      <c r="D7">
        <v>0.4</v>
      </c>
      <c r="E7">
        <v>0.54218103605284396</v>
      </c>
      <c r="F7">
        <v>0.37831275859305757</v>
      </c>
      <c r="G7">
        <v>0.4578189638832143</v>
      </c>
      <c r="H7">
        <v>0.22168724146250907</v>
      </c>
    </row>
    <row r="8" spans="1:11" x14ac:dyDescent="0.25">
      <c r="A8" s="10"/>
      <c r="B8" s="5" t="s">
        <v>9</v>
      </c>
      <c r="C8">
        <v>-390</v>
      </c>
      <c r="D8">
        <v>-325</v>
      </c>
    </row>
    <row r="9" spans="1:11" x14ac:dyDescent="0.25">
      <c r="A9" s="10"/>
      <c r="B9" s="5" t="s">
        <v>10</v>
      </c>
      <c r="C9">
        <v>0</v>
      </c>
      <c r="D9">
        <v>0</v>
      </c>
    </row>
    <row r="10" spans="1:11" x14ac:dyDescent="0.25">
      <c r="A10" s="10"/>
      <c r="B10" s="5" t="s">
        <v>12</v>
      </c>
      <c r="C10">
        <v>2.5229688940551758E-2</v>
      </c>
      <c r="D10">
        <v>6.9917298157104485E-2</v>
      </c>
    </row>
    <row r="11" spans="1:11" x14ac:dyDescent="0.25">
      <c r="A11" s="10"/>
      <c r="B11" s="5" t="s">
        <v>11</v>
      </c>
      <c r="C11">
        <v>9.1506100000000004</v>
      </c>
      <c r="D11">
        <v>0</v>
      </c>
    </row>
    <row r="13" spans="1:11" x14ac:dyDescent="0.25">
      <c r="A13" s="11" t="s">
        <v>19</v>
      </c>
      <c r="B13" s="5" t="s">
        <v>6</v>
      </c>
      <c r="C13">
        <v>0.53333333333333333</v>
      </c>
      <c r="D13">
        <v>0.21666666666666667</v>
      </c>
      <c r="E13">
        <v>1</v>
      </c>
      <c r="F13">
        <v>0.83333333333333337</v>
      </c>
    </row>
    <row r="14" spans="1:11" x14ac:dyDescent="0.25">
      <c r="A14" s="10"/>
      <c r="B14" s="5" t="s">
        <v>7</v>
      </c>
      <c r="C14">
        <v>0.7142857142857143</v>
      </c>
      <c r="D14">
        <v>0</v>
      </c>
      <c r="E14">
        <v>0.1562098168647558</v>
      </c>
      <c r="F14">
        <v>0.65108854705482122</v>
      </c>
      <c r="G14">
        <v>0.12950446897624179</v>
      </c>
      <c r="H14">
        <v>0.34891145287673686</v>
      </c>
    </row>
    <row r="15" spans="1:11" x14ac:dyDescent="0.25">
      <c r="A15" s="10"/>
      <c r="B15" s="5" t="s">
        <v>9</v>
      </c>
      <c r="C15">
        <v>-390</v>
      </c>
      <c r="D15">
        <v>-325</v>
      </c>
    </row>
    <row r="16" spans="1:11" x14ac:dyDescent="0.25">
      <c r="A16" s="10"/>
      <c r="B16" s="5" t="s">
        <v>10</v>
      </c>
      <c r="C16">
        <v>0</v>
      </c>
      <c r="D16">
        <v>0</v>
      </c>
    </row>
    <row r="17" spans="1:4" x14ac:dyDescent="0.25">
      <c r="A17" s="10"/>
      <c r="B17" s="5" t="s">
        <v>12</v>
      </c>
      <c r="C17">
        <v>1.4913478208771973</v>
      </c>
      <c r="D17">
        <v>0.22914052231030274</v>
      </c>
    </row>
    <row r="18" spans="1:4" x14ac:dyDescent="0.25">
      <c r="A18" s="10"/>
      <c r="B18" s="5" t="s">
        <v>11</v>
      </c>
      <c r="C18">
        <v>9.1506100000000004</v>
      </c>
      <c r="D18">
        <v>0</v>
      </c>
    </row>
  </sheetData>
  <mergeCells count="3">
    <mergeCell ref="A1:A4"/>
    <mergeCell ref="A6:A11"/>
    <mergeCell ref="A13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4313-B2CD-43A4-8E99-828DABFDCA4D}">
  <dimension ref="A1:AZ18"/>
  <sheetViews>
    <sheetView workbookViewId="0">
      <selection activeCell="C21" sqref="C21"/>
    </sheetView>
  </sheetViews>
  <sheetFormatPr defaultRowHeight="15" x14ac:dyDescent="0.25"/>
  <cols>
    <col min="1" max="1" width="13.85546875" customWidth="1"/>
    <col min="2" max="2" width="18.140625" style="6" customWidth="1"/>
    <col min="3" max="3" width="14.85546875" customWidth="1"/>
    <col min="5" max="5" width="11" customWidth="1"/>
    <col min="7" max="7" width="10.85546875" customWidth="1"/>
    <col min="8" max="8" width="13.28515625" customWidth="1"/>
    <col min="10" max="10" width="17.5703125" customWidth="1"/>
    <col min="11" max="11" width="16.140625" customWidth="1"/>
  </cols>
  <sheetData>
    <row r="1" spans="1:52" x14ac:dyDescent="0.25">
      <c r="A1" s="10" t="s">
        <v>5</v>
      </c>
      <c r="B1" s="5" t="s">
        <v>6</v>
      </c>
      <c r="C1">
        <v>0</v>
      </c>
      <c r="D1">
        <v>0</v>
      </c>
      <c r="E1">
        <v>0</v>
      </c>
      <c r="F1">
        <v>0</v>
      </c>
      <c r="G1">
        <v>0</v>
      </c>
      <c r="H1">
        <v>8.6115576605403081</v>
      </c>
      <c r="I1">
        <v>4.5592112422126689</v>
      </c>
      <c r="J1">
        <v>2.5000180881089205</v>
      </c>
      <c r="K1">
        <v>3.9787188044325763</v>
      </c>
      <c r="L1">
        <v>0.9705936544535706</v>
      </c>
    </row>
    <row r="2" spans="1:52" s="2" customFormat="1" x14ac:dyDescent="0.25">
      <c r="A2" s="10"/>
      <c r="B2" s="5" t="s">
        <v>7</v>
      </c>
      <c r="C2">
        <v>0.3255882351233963</v>
      </c>
      <c r="D2">
        <v>0.21792477358308754</v>
      </c>
      <c r="E2">
        <v>4.1834120131436413E-2</v>
      </c>
      <c r="F2">
        <v>3.8995444815761852E-3</v>
      </c>
      <c r="G2">
        <v>8.6720309515862567E-3</v>
      </c>
      <c r="H2">
        <v>0.39411185952348265</v>
      </c>
      <c r="I2">
        <v>0.13626335045093857</v>
      </c>
      <c r="J2">
        <v>3.1103138756246127E-2</v>
      </c>
      <c r="K2">
        <v>7.5564561378089925E-4</v>
      </c>
      <c r="L2">
        <v>2.466432214840678E-3</v>
      </c>
      <c r="M2">
        <v>3.1010140697134295E-3</v>
      </c>
      <c r="N2">
        <v>1.8189966162256072E-2</v>
      </c>
      <c r="O2">
        <v>4.7171413430532702E-2</v>
      </c>
      <c r="P2">
        <v>0.48538380057685093</v>
      </c>
      <c r="Q2">
        <v>1.0709023348644615E-2</v>
      </c>
      <c r="R2">
        <v>0.2653246117045045</v>
      </c>
      <c r="S2">
        <v>0.30019776192724507</v>
      </c>
      <c r="T2">
        <v>3.4061496833509376E-2</v>
      </c>
      <c r="U2">
        <v>1.0355561376801253E-3</v>
      </c>
      <c r="V2">
        <v>3.1569886790634963E-3</v>
      </c>
      <c r="W2">
        <v>5.0364368004031422E-3</v>
      </c>
      <c r="X2">
        <v>4.8512924017064252E-2</v>
      </c>
      <c r="Y2">
        <v>3.1669833810214529E-2</v>
      </c>
      <c r="Z2">
        <v>0.3773087978141535</v>
      </c>
      <c r="AA2">
        <v>0.35647635941552197</v>
      </c>
      <c r="AB2">
        <v>6.8378005380437118E-3</v>
      </c>
      <c r="AC2">
        <v>0.27891098085115612</v>
      </c>
      <c r="AD2">
        <v>0.81416061238377635</v>
      </c>
      <c r="AE2">
        <v>0.13161613712372872</v>
      </c>
      <c r="AF2">
        <v>0.61851927340147861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s="2" customFormat="1" x14ac:dyDescent="0.25">
      <c r="A3" s="10"/>
      <c r="B3" s="5" t="s">
        <v>20</v>
      </c>
      <c r="C3">
        <v>-515.50248624370113</v>
      </c>
      <c r="D3"/>
      <c r="E3"/>
      <c r="F3"/>
      <c r="G3"/>
      <c r="H3"/>
    </row>
    <row r="4" spans="1:52" x14ac:dyDescent="0.25">
      <c r="A4" s="10"/>
      <c r="B4" s="5" t="s">
        <v>8</v>
      </c>
      <c r="C4">
        <v>4.1178676187927561</v>
      </c>
    </row>
    <row r="6" spans="1:52" x14ac:dyDescent="0.25">
      <c r="A6" s="11" t="s">
        <v>18</v>
      </c>
      <c r="B6" s="5" t="s">
        <v>6</v>
      </c>
      <c r="C6">
        <v>1.3551104835528879E-4</v>
      </c>
      <c r="D6">
        <v>1.3611649321324101E-4</v>
      </c>
      <c r="E6">
        <v>1.3569602240622654E-4</v>
      </c>
      <c r="F6">
        <v>1.3574606252745344E-4</v>
      </c>
      <c r="G6">
        <v>1.3873613518294067E-4</v>
      </c>
      <c r="H6">
        <v>7.8374437271717268</v>
      </c>
      <c r="I6">
        <v>5.0389432273915382</v>
      </c>
      <c r="J6">
        <v>3.7205786653743913</v>
      </c>
      <c r="K6">
        <v>3.1487883722433749</v>
      </c>
      <c r="L6">
        <v>0.87347464652835338</v>
      </c>
    </row>
    <row r="7" spans="1:52" x14ac:dyDescent="0.25">
      <c r="A7" s="10"/>
      <c r="B7" s="5" t="s">
        <v>7</v>
      </c>
      <c r="C7">
        <v>0.18143460693366248</v>
      </c>
      <c r="D7">
        <v>0.16407411095676305</v>
      </c>
      <c r="E7">
        <v>0.16335188462738476</v>
      </c>
      <c r="F7">
        <v>0.15940916983112857</v>
      </c>
      <c r="G7">
        <v>0.16583672117182535</v>
      </c>
      <c r="H7">
        <v>0.16556272673379446</v>
      </c>
      <c r="I7">
        <v>0.16691941540004343</v>
      </c>
      <c r="J7">
        <v>0.16707869541871814</v>
      </c>
      <c r="K7">
        <v>0.16693163250798324</v>
      </c>
      <c r="L7">
        <v>0.16672376420254315</v>
      </c>
      <c r="M7">
        <v>0.17469447195955862</v>
      </c>
      <c r="N7">
        <v>0.16530894461617773</v>
      </c>
      <c r="O7">
        <v>0.16498208502295897</v>
      </c>
      <c r="P7">
        <v>0.16250590127153938</v>
      </c>
      <c r="Q7">
        <v>0.16621363337764283</v>
      </c>
      <c r="R7">
        <v>0.16634794547295398</v>
      </c>
      <c r="S7">
        <v>0.16678374731871146</v>
      </c>
      <c r="T7">
        <v>0.16690418103903781</v>
      </c>
      <c r="U7">
        <v>0.1665399673711658</v>
      </c>
      <c r="V7">
        <v>0.16667985107466579</v>
      </c>
      <c r="W7">
        <v>0.14135045623441769</v>
      </c>
      <c r="X7">
        <v>0.17087556973465737</v>
      </c>
      <c r="Y7">
        <v>0.17174575145431339</v>
      </c>
      <c r="Z7">
        <v>0.18016207086368585</v>
      </c>
      <c r="AA7">
        <v>0.16810425045055519</v>
      </c>
      <c r="AB7">
        <v>0.17060978832582085</v>
      </c>
      <c r="AC7">
        <v>0.16603820451064319</v>
      </c>
      <c r="AD7">
        <v>0.16593739050177123</v>
      </c>
      <c r="AE7">
        <v>0.16445123720793595</v>
      </c>
      <c r="AF7">
        <v>0.16644173722855624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s="10"/>
      <c r="B8" s="5" t="s">
        <v>9</v>
      </c>
      <c r="C8">
        <v>-731</v>
      </c>
      <c r="D8">
        <v>-515.49999999999727</v>
      </c>
      <c r="E8">
        <v>-515.49999999999523</v>
      </c>
      <c r="F8">
        <v>-515.49999999399711</v>
      </c>
      <c r="G8">
        <v>-515.49999999400063</v>
      </c>
      <c r="H8">
        <v>-515.4636708236925</v>
      </c>
    </row>
    <row r="9" spans="1:52" x14ac:dyDescent="0.25">
      <c r="A9" s="10"/>
      <c r="B9" s="5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7.0478635767762662E-3</v>
      </c>
    </row>
    <row r="10" spans="1:52" x14ac:dyDescent="0.25">
      <c r="A10" s="10"/>
      <c r="B10" s="5" t="s">
        <v>12</v>
      </c>
      <c r="C10">
        <v>4.1416307029174808E-2</v>
      </c>
      <c r="D10">
        <v>0.59081487115930176</v>
      </c>
      <c r="E10">
        <v>0.35396930499645995</v>
      </c>
      <c r="F10">
        <v>0.6098493911350098</v>
      </c>
      <c r="G10">
        <v>1.0216885634537354</v>
      </c>
      <c r="H10">
        <v>2.6022816930809327</v>
      </c>
    </row>
    <row r="11" spans="1:52" x14ac:dyDescent="0.25">
      <c r="A11" s="10"/>
      <c r="B11" s="5" t="s">
        <v>11</v>
      </c>
      <c r="C11">
        <v>716.33996999999999</v>
      </c>
      <c r="D11">
        <v>6.6744500000000002</v>
      </c>
      <c r="E11">
        <v>2.8744999999999998</v>
      </c>
      <c r="F11">
        <v>4.0153999999999996</v>
      </c>
      <c r="G11">
        <v>1.78746</v>
      </c>
      <c r="H11">
        <v>0</v>
      </c>
    </row>
    <row r="13" spans="1:52" x14ac:dyDescent="0.25">
      <c r="A13" s="11" t="s">
        <v>19</v>
      </c>
      <c r="B13" s="5" t="s">
        <v>6</v>
      </c>
      <c r="C13">
        <v>0</v>
      </c>
      <c r="D13">
        <v>0</v>
      </c>
      <c r="E13">
        <v>0</v>
      </c>
      <c r="F13">
        <v>0</v>
      </c>
      <c r="G13">
        <v>0</v>
      </c>
      <c r="H13">
        <v>10.008088092956246</v>
      </c>
      <c r="I13">
        <v>4.5</v>
      </c>
      <c r="J13">
        <v>3.4561231115037021</v>
      </c>
      <c r="K13">
        <v>2.1241879625478388</v>
      </c>
      <c r="L13">
        <v>0.53160083299220939</v>
      </c>
    </row>
    <row r="14" spans="1:52" x14ac:dyDescent="0.25">
      <c r="A14" s="10"/>
      <c r="B14" s="5" t="s">
        <v>7</v>
      </c>
      <c r="C14">
        <v>0</v>
      </c>
      <c r="D14">
        <v>0.66666666666666663</v>
      </c>
      <c r="E14">
        <v>0</v>
      </c>
      <c r="F14">
        <v>0</v>
      </c>
      <c r="G14">
        <v>0</v>
      </c>
      <c r="H14">
        <v>0.29515171169220106</v>
      </c>
      <c r="I14">
        <v>0</v>
      </c>
      <c r="J14">
        <v>0</v>
      </c>
      <c r="K14">
        <v>0</v>
      </c>
      <c r="L14">
        <v>0</v>
      </c>
      <c r="M14">
        <v>1.2950338743409132E-2</v>
      </c>
      <c r="N14">
        <v>0</v>
      </c>
      <c r="O14">
        <v>1</v>
      </c>
      <c r="P14">
        <v>0</v>
      </c>
      <c r="Q14">
        <v>0</v>
      </c>
      <c r="R14">
        <v>0.29515171169220106</v>
      </c>
      <c r="S14">
        <v>0</v>
      </c>
      <c r="T14">
        <v>0</v>
      </c>
      <c r="U14">
        <v>0</v>
      </c>
      <c r="V14">
        <v>0</v>
      </c>
      <c r="W14">
        <v>0.14757585584609992</v>
      </c>
      <c r="X14">
        <v>0.33333333333333331</v>
      </c>
      <c r="Y14">
        <v>0</v>
      </c>
      <c r="Z14">
        <v>0</v>
      </c>
      <c r="AA14">
        <v>0</v>
      </c>
      <c r="AB14">
        <v>0.24917038202608929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s="10"/>
      <c r="B15" s="5" t="s">
        <v>9</v>
      </c>
      <c r="C15">
        <v>-731</v>
      </c>
      <c r="D15">
        <v>-515.5</v>
      </c>
      <c r="E15">
        <v>-515.5</v>
      </c>
      <c r="F15">
        <v>-515.5</v>
      </c>
      <c r="G15">
        <v>-515.49999999999989</v>
      </c>
    </row>
    <row r="16" spans="1:52" x14ac:dyDescent="0.25">
      <c r="A16" s="10"/>
      <c r="B16" s="5" t="s">
        <v>10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s="10"/>
      <c r="B17" s="5" t="s">
        <v>12</v>
      </c>
      <c r="C17">
        <v>5.0003090783447265E-2</v>
      </c>
      <c r="D17">
        <v>0.107210563546875</v>
      </c>
      <c r="E17">
        <v>0.12522911923791505</v>
      </c>
      <c r="F17">
        <v>0.15570051972241211</v>
      </c>
      <c r="G17">
        <v>0.14373322335449218</v>
      </c>
    </row>
    <row r="18" spans="1:7" x14ac:dyDescent="0.25">
      <c r="A18" s="10"/>
      <c r="B18" s="5" t="s">
        <v>11</v>
      </c>
      <c r="C18">
        <v>716.33996999999999</v>
      </c>
      <c r="D18">
        <v>4.0960900000000002</v>
      </c>
      <c r="E18">
        <v>7.1614899999999997</v>
      </c>
      <c r="F18">
        <v>5.4239100000000002</v>
      </c>
      <c r="G18">
        <v>0</v>
      </c>
    </row>
  </sheetData>
  <mergeCells count="3">
    <mergeCell ref="A1:A4"/>
    <mergeCell ref="A6:A11"/>
    <mergeCell ref="A13:A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B524-A6A7-42D3-820A-BCD0846D2480}">
  <dimension ref="A1:TV18"/>
  <sheetViews>
    <sheetView workbookViewId="0">
      <selection activeCell="C20" sqref="C20"/>
    </sheetView>
  </sheetViews>
  <sheetFormatPr defaultRowHeight="15" x14ac:dyDescent="0.25"/>
  <cols>
    <col min="1" max="1" width="13.85546875" customWidth="1"/>
    <col min="2" max="2" width="18.140625" style="6" customWidth="1"/>
    <col min="3" max="3" width="14.85546875" customWidth="1"/>
    <col min="5" max="5" width="11" customWidth="1"/>
    <col min="7" max="7" width="10.85546875" customWidth="1"/>
    <col min="8" max="8" width="13.28515625" customWidth="1"/>
    <col min="10" max="10" width="17.5703125" customWidth="1"/>
    <col min="11" max="11" width="16.140625" customWidth="1"/>
  </cols>
  <sheetData>
    <row r="1" spans="1:542" x14ac:dyDescent="0.25">
      <c r="A1" s="10" t="s">
        <v>5</v>
      </c>
      <c r="B1" s="5" t="s">
        <v>6</v>
      </c>
      <c r="C1">
        <v>0.55977773903859862</v>
      </c>
      <c r="D1">
        <v>0.18429695928648723</v>
      </c>
      <c r="E1">
        <v>0.13126215105507294</v>
      </c>
      <c r="F1">
        <v>2.8992713546746991E-2</v>
      </c>
      <c r="G1">
        <v>0.22444439819867013</v>
      </c>
      <c r="H1">
        <v>8.0379844914582957E-2</v>
      </c>
      <c r="I1">
        <v>2.6018950547260618E-2</v>
      </c>
      <c r="J1">
        <v>6.7030500789691555E-2</v>
      </c>
      <c r="K1">
        <v>0.13111111111111112</v>
      </c>
      <c r="L1">
        <v>0.14799999999999999</v>
      </c>
      <c r="M1">
        <v>0.88644368962582687</v>
      </c>
      <c r="N1">
        <v>1.2997099935277212</v>
      </c>
      <c r="O1">
        <v>0.88631666119643238</v>
      </c>
      <c r="P1">
        <v>0.6821138817140544</v>
      </c>
      <c r="Q1">
        <v>0.39429257043287624</v>
      </c>
      <c r="R1">
        <v>0.58851024173009214</v>
      </c>
      <c r="S1">
        <v>0.86485650943387971</v>
      </c>
      <c r="T1">
        <v>0.43598415861347423</v>
      </c>
      <c r="U1">
        <v>0.13111111111111112</v>
      </c>
      <c r="V1">
        <v>0.14800807334694954</v>
      </c>
    </row>
    <row r="2" spans="1:542" s="2" customFormat="1" x14ac:dyDescent="0.25">
      <c r="A2" s="10"/>
      <c r="B2" s="5" t="s">
        <v>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1.1991972011839377E-6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1.2378978399799675E-6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1.6686396707913885E-6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1.9348306871591898E-6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2.0368082776980805E-6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2.2766997069186527E-6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1.1171969784828754E-6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0.15437893395127275</v>
      </c>
      <c r="JG2">
        <v>0.17151516456417193</v>
      </c>
      <c r="JH2">
        <v>0</v>
      </c>
      <c r="JI2">
        <v>2.9455210584046872E-2</v>
      </c>
      <c r="JJ2">
        <v>0</v>
      </c>
      <c r="JK2">
        <v>0</v>
      </c>
      <c r="JL2">
        <v>0</v>
      </c>
      <c r="JM2">
        <v>0</v>
      </c>
      <c r="JN2">
        <v>3.8834049137689855E-2</v>
      </c>
      <c r="JO2">
        <v>0</v>
      </c>
      <c r="JP2">
        <v>0.14423154811330929</v>
      </c>
      <c r="JQ2">
        <v>0.49871860493323855</v>
      </c>
      <c r="JR2">
        <v>0</v>
      </c>
      <c r="JS2">
        <v>0</v>
      </c>
      <c r="JT2">
        <v>0</v>
      </c>
      <c r="JU2">
        <v>0</v>
      </c>
      <c r="JV2">
        <v>0</v>
      </c>
      <c r="JW2">
        <v>0.11025298117722446</v>
      </c>
      <c r="JX2">
        <v>0</v>
      </c>
      <c r="JY2">
        <v>0</v>
      </c>
      <c r="JZ2">
        <v>1.8976515255174943E-2</v>
      </c>
      <c r="KA2">
        <v>0</v>
      </c>
      <c r="KB2">
        <v>0</v>
      </c>
      <c r="KC2">
        <v>0</v>
      </c>
      <c r="KD2">
        <v>0.47109881946129573</v>
      </c>
      <c r="KE2">
        <v>0</v>
      </c>
      <c r="KF2">
        <v>0</v>
      </c>
      <c r="KG2">
        <v>0</v>
      </c>
      <c r="KH2">
        <v>0.1752807005039527</v>
      </c>
      <c r="KI2">
        <v>0</v>
      </c>
      <c r="KJ2">
        <v>4.0899600967057755E-2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3.3615561864061035E-4</v>
      </c>
      <c r="KU2">
        <v>0</v>
      </c>
      <c r="KV2">
        <v>0</v>
      </c>
      <c r="KW2">
        <v>0.105705841986677</v>
      </c>
      <c r="KX2">
        <v>0</v>
      </c>
      <c r="KY2">
        <v>0</v>
      </c>
      <c r="KZ2">
        <v>0</v>
      </c>
      <c r="LA2">
        <v>2.3731918750440079E-2</v>
      </c>
      <c r="LB2">
        <v>0</v>
      </c>
      <c r="LC2">
        <v>7.7146406574621657E-2</v>
      </c>
      <c r="LD2">
        <v>0</v>
      </c>
      <c r="LE2">
        <v>4.6024896961488467E-5</v>
      </c>
      <c r="LF2">
        <v>0</v>
      </c>
      <c r="LG2">
        <v>5.3766944632262802E-2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2.5056746007952536E-4</v>
      </c>
      <c r="LO2">
        <v>0</v>
      </c>
      <c r="LP2">
        <v>0</v>
      </c>
      <c r="LQ2">
        <v>7.9281750793236766E-2</v>
      </c>
      <c r="LR2">
        <v>0</v>
      </c>
      <c r="LS2">
        <v>0</v>
      </c>
      <c r="LT2">
        <v>0</v>
      </c>
      <c r="LU2">
        <v>0.12686654178938095</v>
      </c>
      <c r="LV2">
        <v>0.10852363448591998</v>
      </c>
      <c r="LW2">
        <v>0</v>
      </c>
      <c r="LX2">
        <v>9.1454576419093256E-2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0.1010960816235234</v>
      </c>
      <c r="MG2">
        <v>0.14496912986163857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8.2908734305261994E-2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0.52890118053870427</v>
      </c>
      <c r="MW2">
        <v>0</v>
      </c>
      <c r="MX2">
        <v>0</v>
      </c>
      <c r="MY2">
        <v>0</v>
      </c>
      <c r="MZ2">
        <v>8.7968801054754839E-2</v>
      </c>
      <c r="NA2">
        <v>0</v>
      </c>
      <c r="NB2">
        <v>2.0944913488811483E-2</v>
      </c>
      <c r="NC2">
        <v>0</v>
      </c>
      <c r="ND2">
        <v>0</v>
      </c>
      <c r="NE2">
        <v>0.13163733302602815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3.5060668770271714E-4</v>
      </c>
      <c r="NM2">
        <v>5.3872655370189888E-5</v>
      </c>
      <c r="NN2">
        <v>0</v>
      </c>
      <c r="NO2">
        <v>0.10568374169403216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0.10811901578818989</v>
      </c>
      <c r="NW2">
        <v>0</v>
      </c>
      <c r="NX2">
        <v>0</v>
      </c>
      <c r="NY2">
        <v>0.10020137647228283</v>
      </c>
      <c r="NZ2">
        <v>0</v>
      </c>
      <c r="OA2">
        <v>0</v>
      </c>
      <c r="OB2">
        <v>0</v>
      </c>
      <c r="OC2">
        <v>0</v>
      </c>
      <c r="OD2">
        <v>0.10367851150397485</v>
      </c>
      <c r="OE2">
        <v>0</v>
      </c>
      <c r="OF2">
        <v>9.5124983090777382E-2</v>
      </c>
      <c r="OG2">
        <v>0.26170727807159772</v>
      </c>
      <c r="OH2">
        <v>0</v>
      </c>
      <c r="OI2">
        <v>0</v>
      </c>
      <c r="OJ2">
        <v>0</v>
      </c>
      <c r="OK2">
        <v>0</v>
      </c>
      <c r="OL2">
        <v>0</v>
      </c>
      <c r="OM2">
        <v>7.9910416255419101E-2</v>
      </c>
      <c r="ON2">
        <v>0</v>
      </c>
      <c r="OO2">
        <v>0</v>
      </c>
      <c r="OP2">
        <v>4.1674633152147318E-2</v>
      </c>
      <c r="OQ2">
        <v>6.8462069412681125E-5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0.10515810322387911</v>
      </c>
      <c r="OY2">
        <v>0</v>
      </c>
      <c r="OZ2">
        <v>2.454877965141555E-2</v>
      </c>
      <c r="PA2">
        <v>4.12407672448825E-5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0.1041796893672514</v>
      </c>
      <c r="PI2">
        <v>0</v>
      </c>
      <c r="PJ2">
        <v>2.4649878588649435E-2</v>
      </c>
      <c r="PK2">
        <v>0</v>
      </c>
      <c r="PL2">
        <v>0</v>
      </c>
      <c r="PM2">
        <v>0.10719662403655011</v>
      </c>
      <c r="PN2">
        <v>0</v>
      </c>
      <c r="PO2">
        <v>0</v>
      </c>
      <c r="PP2">
        <v>0</v>
      </c>
      <c r="PQ2">
        <v>8.0943765763483541E-2</v>
      </c>
      <c r="PR2">
        <v>0</v>
      </c>
      <c r="PS2">
        <v>0.2592948211879133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0.33310823383662963</v>
      </c>
      <c r="QB2">
        <v>0</v>
      </c>
      <c r="QC2">
        <v>0</v>
      </c>
      <c r="QD2">
        <v>0.17364048589270073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3.6672151663468951E-5</v>
      </c>
      <c r="QO2">
        <v>1.3472746826408884E-4</v>
      </c>
      <c r="QP2">
        <v>0.1048702536174472</v>
      </c>
      <c r="QQ2">
        <v>0</v>
      </c>
      <c r="QR2">
        <v>0</v>
      </c>
      <c r="QS2">
        <v>0</v>
      </c>
      <c r="QT2">
        <v>0</v>
      </c>
      <c r="QU2">
        <v>0</v>
      </c>
      <c r="QV2">
        <v>0.17528042909905273</v>
      </c>
      <c r="QW2">
        <v>0</v>
      </c>
      <c r="QX2">
        <v>4.0901012472295953E-2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8.0944529435020868E-2</v>
      </c>
      <c r="RF2">
        <v>0</v>
      </c>
      <c r="RG2">
        <v>0.2592948211879133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3.8886506120835865E-4</v>
      </c>
      <c r="RP2">
        <v>0</v>
      </c>
      <c r="RQ2">
        <v>0</v>
      </c>
      <c r="RR2">
        <v>2.0408812557570766E-4</v>
      </c>
      <c r="RS2">
        <v>0</v>
      </c>
      <c r="RT2">
        <v>0.10444919599567558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0.21866697548961272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2.7034480390069113E-5</v>
      </c>
      <c r="SM2">
        <v>4.6825391669560276E-5</v>
      </c>
      <c r="SN2">
        <v>0.43726904004833178</v>
      </c>
      <c r="SO2">
        <v>0</v>
      </c>
      <c r="SP2">
        <v>0</v>
      </c>
      <c r="SQ2">
        <v>0</v>
      </c>
      <c r="SR2">
        <v>1</v>
      </c>
      <c r="SS2">
        <v>0</v>
      </c>
      <c r="ST2">
        <v>0</v>
      </c>
      <c r="SU2">
        <v>0</v>
      </c>
      <c r="SV2">
        <v>1.8829655217040015E-2</v>
      </c>
      <c r="SW2">
        <v>6.7657445108685377E-2</v>
      </c>
      <c r="SX2">
        <v>0.13474453484893262</v>
      </c>
      <c r="SY2">
        <v>0.15493622453531206</v>
      </c>
      <c r="SZ2">
        <v>0</v>
      </c>
      <c r="TA2">
        <v>0</v>
      </c>
      <c r="TB2">
        <v>0</v>
      </c>
      <c r="TC2">
        <v>8.0944013625929304E-2</v>
      </c>
      <c r="TD2">
        <v>0</v>
      </c>
      <c r="TE2">
        <v>0.2592948211879133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4.1983145447185393E-4</v>
      </c>
      <c r="TQ2">
        <v>0</v>
      </c>
      <c r="TR2">
        <v>0</v>
      </c>
      <c r="TS2">
        <v>0.1321328577313583</v>
      </c>
      <c r="TT2">
        <v>0</v>
      </c>
      <c r="TU2">
        <v>0</v>
      </c>
      <c r="TV2">
        <v>0</v>
      </c>
    </row>
    <row r="3" spans="1:542" s="2" customFormat="1" x14ac:dyDescent="0.25">
      <c r="A3" s="10"/>
      <c r="B3" s="5" t="s">
        <v>20</v>
      </c>
      <c r="C3">
        <v>-1065.6073175049441</v>
      </c>
      <c r="D3"/>
      <c r="E3"/>
      <c r="F3"/>
      <c r="G3"/>
      <c r="H3"/>
    </row>
    <row r="4" spans="1:542" x14ac:dyDescent="0.25">
      <c r="A4" s="10"/>
      <c r="B4" s="5" t="s">
        <v>8</v>
      </c>
      <c r="C4">
        <v>67.533437256796802</v>
      </c>
    </row>
    <row r="6" spans="1:542" x14ac:dyDescent="0.25">
      <c r="A6" s="11" t="s">
        <v>18</v>
      </c>
      <c r="B6" s="5" t="s">
        <v>6</v>
      </c>
      <c r="C6">
        <v>0.13971768707452456</v>
      </c>
      <c r="D6">
        <v>0.59083333333334009</v>
      </c>
      <c r="E6">
        <v>0.27934444444484724</v>
      </c>
      <c r="F6">
        <v>0.16907407407407105</v>
      </c>
      <c r="G6">
        <v>1.3888888888906326E-3</v>
      </c>
      <c r="H6">
        <v>2.0395540437041244E-2</v>
      </c>
      <c r="I6">
        <v>0.10952380952380952</v>
      </c>
      <c r="J6">
        <v>0.13855555555572577</v>
      </c>
      <c r="K6">
        <v>0.13111111111123389</v>
      </c>
      <c r="L6">
        <v>1.3888888889838601E-3</v>
      </c>
      <c r="M6">
        <v>0.56000453514719228</v>
      </c>
      <c r="N6">
        <v>0.8305555555555485</v>
      </c>
      <c r="O6">
        <v>1.0527390856453926</v>
      </c>
      <c r="P6">
        <v>1.2122303850790719</v>
      </c>
      <c r="Q6">
        <v>0.44749999999979978</v>
      </c>
      <c r="R6">
        <v>0.34705774016058882</v>
      </c>
      <c r="S6">
        <v>0.88730158730158726</v>
      </c>
      <c r="T6">
        <v>0.55422222222222228</v>
      </c>
      <c r="U6">
        <v>0.13111111111074314</v>
      </c>
      <c r="V6">
        <v>0.29461111111124744</v>
      </c>
    </row>
    <row r="7" spans="1:542" x14ac:dyDescent="0.25">
      <c r="A7" s="10"/>
      <c r="B7" s="5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8.1156526495392067E-2</v>
      </c>
      <c r="JF7">
        <v>0</v>
      </c>
      <c r="JG7">
        <v>0</v>
      </c>
      <c r="JH7">
        <v>0.28133234899696291</v>
      </c>
      <c r="JI7">
        <v>0</v>
      </c>
      <c r="JJ7">
        <v>0</v>
      </c>
      <c r="JK7">
        <v>0</v>
      </c>
      <c r="JL7">
        <v>0</v>
      </c>
      <c r="JM7">
        <v>6.4495307235588287E-2</v>
      </c>
      <c r="JN7">
        <v>0</v>
      </c>
      <c r="JO7">
        <v>0</v>
      </c>
      <c r="JP7">
        <v>0</v>
      </c>
      <c r="JQ7">
        <v>0</v>
      </c>
      <c r="JR7">
        <v>0</v>
      </c>
      <c r="JS7">
        <v>0.25086303363692708</v>
      </c>
      <c r="JT7">
        <v>0</v>
      </c>
      <c r="JU7">
        <v>0</v>
      </c>
      <c r="JV7">
        <v>0</v>
      </c>
      <c r="JW7">
        <v>1.318637109043894E-2</v>
      </c>
      <c r="JX7">
        <v>0</v>
      </c>
      <c r="JY7">
        <v>0</v>
      </c>
      <c r="JZ7">
        <v>0.20423214303507517</v>
      </c>
      <c r="KA7">
        <v>0</v>
      </c>
      <c r="KB7">
        <v>1.1124993846260783E-2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0.18052625028095534</v>
      </c>
      <c r="KM7">
        <v>0</v>
      </c>
      <c r="KN7">
        <v>0.39274527713963209</v>
      </c>
      <c r="KO7">
        <v>0</v>
      </c>
      <c r="KP7">
        <v>0</v>
      </c>
      <c r="KQ7">
        <v>5.2916766785563264E-2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0.16034162253347717</v>
      </c>
      <c r="KY7">
        <v>0</v>
      </c>
      <c r="KZ7">
        <v>0</v>
      </c>
      <c r="LA7">
        <v>1.0600209999279919E-2</v>
      </c>
      <c r="LB7">
        <v>0</v>
      </c>
      <c r="LC7">
        <v>0</v>
      </c>
      <c r="LD7">
        <v>0.10224352873717543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0.14943960149439656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0.49813200497472832</v>
      </c>
      <c r="LZ7">
        <v>0</v>
      </c>
      <c r="MA7">
        <v>0</v>
      </c>
      <c r="MB7">
        <v>0</v>
      </c>
      <c r="MC7">
        <v>0</v>
      </c>
      <c r="MD7">
        <v>0</v>
      </c>
      <c r="ME7">
        <v>2.1200419998559893E-2</v>
      </c>
      <c r="MF7">
        <v>0</v>
      </c>
      <c r="MG7">
        <v>0</v>
      </c>
      <c r="MH7">
        <v>0.20448705747435086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0.22140111392935699</v>
      </c>
      <c r="MR7">
        <v>0</v>
      </c>
      <c r="MS7">
        <v>0</v>
      </c>
      <c r="MT7">
        <v>0.15609944216567939</v>
      </c>
      <c r="MU7">
        <v>0</v>
      </c>
      <c r="MV7">
        <v>0</v>
      </c>
      <c r="MW7">
        <v>0</v>
      </c>
      <c r="MX7">
        <v>0</v>
      </c>
      <c r="MY7">
        <v>6.4495307235588273E-2</v>
      </c>
      <c r="MZ7">
        <v>0</v>
      </c>
      <c r="NA7">
        <v>0</v>
      </c>
      <c r="NB7">
        <v>0</v>
      </c>
      <c r="NC7">
        <v>0</v>
      </c>
      <c r="ND7">
        <v>0</v>
      </c>
      <c r="NE7">
        <v>0.25086303363692708</v>
      </c>
      <c r="NF7">
        <v>0</v>
      </c>
      <c r="NG7">
        <v>0</v>
      </c>
      <c r="NH7">
        <v>0</v>
      </c>
      <c r="NI7">
        <v>5.2916766785563389E-2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0.16034162253347714</v>
      </c>
      <c r="NQ7">
        <v>0</v>
      </c>
      <c r="NR7">
        <v>0</v>
      </c>
      <c r="NS7">
        <v>0.20558955591596162</v>
      </c>
      <c r="NT7">
        <v>0</v>
      </c>
      <c r="NU7">
        <v>8.8260348052227419E-2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0.11407296426447615</v>
      </c>
      <c r="OD7">
        <v>0</v>
      </c>
      <c r="OE7">
        <v>0.22534272457676371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5.0881007996543747E-3</v>
      </c>
      <c r="ON7">
        <v>0</v>
      </c>
      <c r="OO7">
        <v>0</v>
      </c>
      <c r="OP7">
        <v>4.9076893793844209E-2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1.2720251999135918E-2</v>
      </c>
      <c r="OX7">
        <v>0</v>
      </c>
      <c r="OY7">
        <v>0</v>
      </c>
      <c r="OZ7">
        <v>0.12269223448461053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2.1200419998559872E-2</v>
      </c>
      <c r="PH7">
        <v>0</v>
      </c>
      <c r="PI7">
        <v>0</v>
      </c>
      <c r="PJ7">
        <v>0.20448705747435086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0.32727326298312415</v>
      </c>
      <c r="PS7">
        <v>0</v>
      </c>
      <c r="PT7">
        <v>0</v>
      </c>
      <c r="PU7">
        <v>0.25579692641792401</v>
      </c>
      <c r="PV7">
        <v>9.07778656610881E-2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9.3540607005395057E-2</v>
      </c>
      <c r="QG7">
        <v>0.23586810646025422</v>
      </c>
      <c r="QH7">
        <v>1.9758789293744382E-2</v>
      </c>
      <c r="QI7">
        <v>0</v>
      </c>
      <c r="QJ7">
        <v>0</v>
      </c>
      <c r="QK7">
        <v>3.1750060071337967E-2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9.6204973520086293E-2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0.7578628268288663</v>
      </c>
      <c r="RE7">
        <v>0.11407296426447525</v>
      </c>
      <c r="RF7">
        <v>0</v>
      </c>
      <c r="RG7">
        <v>0.22534272457676502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1.547887373654119E-2</v>
      </c>
      <c r="RP7">
        <v>0</v>
      </c>
      <c r="RQ7">
        <v>0</v>
      </c>
      <c r="RR7">
        <v>0</v>
      </c>
      <c r="RS7">
        <v>0</v>
      </c>
      <c r="RT7">
        <v>0</v>
      </c>
      <c r="RU7">
        <v>6.0207128072862506E-2</v>
      </c>
      <c r="RV7">
        <v>0</v>
      </c>
      <c r="RW7">
        <v>0</v>
      </c>
      <c r="RX7">
        <v>0</v>
      </c>
      <c r="RY7">
        <v>3.2247653617794143E-2</v>
      </c>
      <c r="RZ7">
        <v>0</v>
      </c>
      <c r="SA7">
        <v>0</v>
      </c>
      <c r="SB7">
        <v>0</v>
      </c>
      <c r="SC7">
        <v>0</v>
      </c>
      <c r="SD7">
        <v>0</v>
      </c>
      <c r="SE7">
        <v>0.12543151681846354</v>
      </c>
      <c r="SF7">
        <v>0</v>
      </c>
      <c r="SG7">
        <v>0</v>
      </c>
      <c r="SH7">
        <v>0</v>
      </c>
      <c r="SI7">
        <v>0</v>
      </c>
      <c r="SJ7">
        <v>0.67272673701508867</v>
      </c>
      <c r="SK7">
        <v>0</v>
      </c>
      <c r="SL7">
        <v>0</v>
      </c>
      <c r="SM7">
        <v>0</v>
      </c>
      <c r="SN7">
        <v>0.18659849204559192</v>
      </c>
      <c r="SO7">
        <v>0</v>
      </c>
      <c r="SP7">
        <v>0</v>
      </c>
      <c r="SQ7">
        <v>0</v>
      </c>
      <c r="SR7">
        <v>0</v>
      </c>
      <c r="SS7">
        <v>7.0604994788014755E-2</v>
      </c>
      <c r="ST7">
        <v>0</v>
      </c>
      <c r="SU7">
        <v>5.1508382922480127E-3</v>
      </c>
      <c r="SV7">
        <v>0.11278108500059189</v>
      </c>
      <c r="SW7">
        <v>0</v>
      </c>
      <c r="SX7">
        <v>0</v>
      </c>
      <c r="SY7">
        <v>0</v>
      </c>
      <c r="SZ7">
        <v>0.17060771497514599</v>
      </c>
      <c r="TA7">
        <v>0</v>
      </c>
      <c r="TB7">
        <v>0</v>
      </c>
      <c r="TC7">
        <v>7.7626652182915729E-2</v>
      </c>
      <c r="TD7">
        <v>0</v>
      </c>
      <c r="TE7">
        <v>0.15334572407587052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0.24213717316677968</v>
      </c>
      <c r="TM7">
        <v>1.973635922634363E-2</v>
      </c>
      <c r="TN7">
        <v>0</v>
      </c>
      <c r="TO7">
        <v>0</v>
      </c>
      <c r="TP7">
        <v>0</v>
      </c>
      <c r="TQ7">
        <v>9.6631467113535499E-2</v>
      </c>
      <c r="TR7">
        <v>0</v>
      </c>
      <c r="TS7">
        <v>7.6767181376386912E-2</v>
      </c>
      <c r="TT7">
        <v>0</v>
      </c>
      <c r="TU7">
        <v>0</v>
      </c>
      <c r="TV7">
        <v>0</v>
      </c>
    </row>
    <row r="8" spans="1:542" x14ac:dyDescent="0.25">
      <c r="A8" s="10"/>
      <c r="B8" s="5" t="s">
        <v>9</v>
      </c>
      <c r="C8">
        <v>-1807.6</v>
      </c>
      <c r="D8">
        <v>-1065.6000000002452</v>
      </c>
      <c r="E8">
        <v>-1065.6000000002928</v>
      </c>
      <c r="F8">
        <v>-1065.6000000000872</v>
      </c>
      <c r="G8">
        <v>-1065.6000000001218</v>
      </c>
      <c r="H8">
        <v>-1065.6000000002443</v>
      </c>
      <c r="I8">
        <v>-1065.6000005371861</v>
      </c>
      <c r="J8">
        <v>-1065.6000000002084</v>
      </c>
    </row>
    <row r="9" spans="1:542" x14ac:dyDescent="0.25">
      <c r="A9" s="10"/>
      <c r="B9" s="5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542" x14ac:dyDescent="0.25">
      <c r="A10" s="10"/>
      <c r="B10" s="5" t="s">
        <v>12</v>
      </c>
      <c r="C10">
        <v>0.16432595794567872</v>
      </c>
      <c r="D10">
        <v>5.4417593207551267</v>
      </c>
      <c r="E10">
        <v>7.88019916643103</v>
      </c>
      <c r="F10">
        <v>13.751782014288331</v>
      </c>
      <c r="G10">
        <v>17.401670988920046</v>
      </c>
      <c r="H10">
        <v>24.052848185419435</v>
      </c>
      <c r="I10">
        <v>29.179996512724731</v>
      </c>
      <c r="J10">
        <v>31.099021545693848</v>
      </c>
    </row>
    <row r="11" spans="1:542" x14ac:dyDescent="0.25">
      <c r="A11" s="10"/>
      <c r="B11" s="5" t="s">
        <v>11</v>
      </c>
      <c r="C11">
        <v>1080.5356099999999</v>
      </c>
      <c r="D11">
        <v>1.0214000000000001</v>
      </c>
      <c r="E11">
        <v>0.72211999999999998</v>
      </c>
      <c r="F11">
        <v>0.79374999999999996</v>
      </c>
      <c r="G11">
        <v>0.72352000000000005</v>
      </c>
      <c r="H11">
        <v>0.47806999999999999</v>
      </c>
      <c r="I11">
        <v>0.24112</v>
      </c>
      <c r="J11">
        <v>0</v>
      </c>
    </row>
    <row r="13" spans="1:542" x14ac:dyDescent="0.25">
      <c r="A13" s="11" t="s">
        <v>19</v>
      </c>
      <c r="B13" s="5" t="s">
        <v>6</v>
      </c>
      <c r="C13">
        <v>0</v>
      </c>
      <c r="D13">
        <v>0.33264006601408308</v>
      </c>
      <c r="E13">
        <v>0.55210916944874211</v>
      </c>
      <c r="F13">
        <v>0.32868345837798568</v>
      </c>
      <c r="G13">
        <v>1.341196723679729E-2</v>
      </c>
      <c r="H13">
        <v>5.8788743173181266E-5</v>
      </c>
      <c r="I13">
        <v>0</v>
      </c>
      <c r="J13">
        <v>0.24278472222222222</v>
      </c>
      <c r="K13">
        <v>0</v>
      </c>
      <c r="L13">
        <v>0.11164516129032256</v>
      </c>
      <c r="M13">
        <v>1.1195555555555554</v>
      </c>
      <c r="N13">
        <v>0.67069326731925005</v>
      </c>
      <c r="O13">
        <v>0.56629888517945293</v>
      </c>
      <c r="P13">
        <v>1.2565388373999118</v>
      </c>
      <c r="Q13">
        <v>0.44888888888888889</v>
      </c>
      <c r="R13">
        <v>0.66888888888888887</v>
      </c>
      <c r="S13">
        <v>0.47402456565694162</v>
      </c>
      <c r="T13">
        <v>0.55422222222222228</v>
      </c>
      <c r="U13">
        <v>0.26222222222222225</v>
      </c>
      <c r="V13">
        <v>0.29599999999999999</v>
      </c>
    </row>
    <row r="14" spans="1:542" x14ac:dyDescent="0.25">
      <c r="A14" s="10"/>
      <c r="B14" s="5" t="s">
        <v>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0.11582883656469145</v>
      </c>
      <c r="JI14">
        <v>0.16285412170645058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0.18356585332679923</v>
      </c>
      <c r="JQ14">
        <v>0</v>
      </c>
      <c r="JR14">
        <v>0</v>
      </c>
      <c r="JS14">
        <v>0.10948727464417665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0.2724218348350454</v>
      </c>
      <c r="KC14">
        <v>3.8603794990412811E-5</v>
      </c>
      <c r="KD14">
        <v>0</v>
      </c>
      <c r="KE14">
        <v>0.15254237288313352</v>
      </c>
      <c r="KF14">
        <v>0</v>
      </c>
      <c r="KG14">
        <v>0.19849146486701072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7.9396585946804307E-2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7.8233667111192395E-2</v>
      </c>
      <c r="LC14">
        <v>0</v>
      </c>
      <c r="LD14">
        <v>0</v>
      </c>
      <c r="LE14">
        <v>0</v>
      </c>
      <c r="LF14">
        <v>0</v>
      </c>
      <c r="LG14">
        <v>5.0785549761608637E-2</v>
      </c>
      <c r="LH14">
        <v>0.1945506604918624</v>
      </c>
      <c r="LI14">
        <v>0</v>
      </c>
      <c r="LJ14">
        <v>0</v>
      </c>
      <c r="LK14">
        <v>0</v>
      </c>
      <c r="LL14">
        <v>8.6910884332299917E-2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0.11972278222715502</v>
      </c>
      <c r="LS14">
        <v>0</v>
      </c>
      <c r="LT14">
        <v>0</v>
      </c>
      <c r="LU14">
        <v>0</v>
      </c>
      <c r="LV14">
        <v>0.13957484173433204</v>
      </c>
      <c r="LW14">
        <v>0</v>
      </c>
      <c r="LX14">
        <v>0.18864847271433868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0.49294921302851419</v>
      </c>
      <c r="MJ14">
        <v>0</v>
      </c>
      <c r="MK14">
        <v>1.593633948332308E-2</v>
      </c>
      <c r="ML14">
        <v>0</v>
      </c>
      <c r="MM14">
        <v>0</v>
      </c>
      <c r="MN14">
        <v>0</v>
      </c>
      <c r="MO14">
        <v>0</v>
      </c>
      <c r="MP14">
        <v>0.28970294777433309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0.39907594075718339</v>
      </c>
      <c r="MW14">
        <v>0</v>
      </c>
      <c r="MX14">
        <v>0</v>
      </c>
      <c r="MY14">
        <v>0.19849146486701072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7.9396585946804307E-2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0.23983782322037514</v>
      </c>
      <c r="NZ14">
        <v>0.13157582720938479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0.18356585332686154</v>
      </c>
      <c r="OG14">
        <v>0</v>
      </c>
      <c r="OH14">
        <v>0</v>
      </c>
      <c r="OI14">
        <v>0.10948727464412895</v>
      </c>
      <c r="OJ14">
        <v>0</v>
      </c>
      <c r="OK14">
        <v>0</v>
      </c>
      <c r="OL14">
        <v>0</v>
      </c>
      <c r="OM14">
        <v>0</v>
      </c>
      <c r="ON14">
        <v>4.7630855118675711E-3</v>
      </c>
      <c r="OO14">
        <v>0</v>
      </c>
      <c r="OP14">
        <v>0</v>
      </c>
      <c r="OQ14">
        <v>0.11877358926790287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0.14976109423398534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0.44862460120624037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0.84745762711835815</v>
      </c>
      <c r="PP14">
        <v>0</v>
      </c>
      <c r="PQ14">
        <v>0.19849146486701072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0.13957484173433188</v>
      </c>
      <c r="QC14">
        <v>0</v>
      </c>
      <c r="QD14">
        <v>0.18864847271433888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3.3497962016239689E-2</v>
      </c>
      <c r="QM14">
        <v>0</v>
      </c>
      <c r="QN14">
        <v>4.5275633451441435E-2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7.7980675551400286E-2</v>
      </c>
      <c r="QW14">
        <v>0</v>
      </c>
      <c r="QX14">
        <v>0</v>
      </c>
      <c r="QY14">
        <v>0.38827719770444291</v>
      </c>
      <c r="QZ14">
        <v>0</v>
      </c>
      <c r="RA14">
        <v>0</v>
      </c>
      <c r="RB14">
        <v>8.5971812668995853E-2</v>
      </c>
      <c r="RC14">
        <v>0</v>
      </c>
      <c r="RD14">
        <v>0</v>
      </c>
      <c r="RE14">
        <v>4.487208269504471E-2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0.14838199353959272</v>
      </c>
      <c r="RL14">
        <v>0</v>
      </c>
      <c r="RM14">
        <v>0</v>
      </c>
      <c r="RN14">
        <v>0.55137539879166009</v>
      </c>
      <c r="RO14">
        <v>0</v>
      </c>
      <c r="RP14">
        <v>0</v>
      </c>
      <c r="RQ14">
        <v>0</v>
      </c>
      <c r="RR14">
        <v>4.4055804798446778E-2</v>
      </c>
      <c r="RS14">
        <v>0</v>
      </c>
      <c r="RT14">
        <v>0</v>
      </c>
      <c r="RU14">
        <v>2.6276945914590948E-2</v>
      </c>
      <c r="RV14">
        <v>0</v>
      </c>
      <c r="RW14">
        <v>0</v>
      </c>
      <c r="RX14">
        <v>0</v>
      </c>
      <c r="RY14">
        <v>7.0131600790701215E-2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3.2394012569762147E-2</v>
      </c>
      <c r="SF14">
        <v>5.5354060084640638E-2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0.33222174979968566</v>
      </c>
      <c r="SO14">
        <v>4.7077798768929008E-5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1</v>
      </c>
      <c r="SV14">
        <v>0.16623990966778729</v>
      </c>
      <c r="SW14">
        <v>0</v>
      </c>
      <c r="SX14">
        <v>0</v>
      </c>
      <c r="SY14">
        <v>0.10443337219902982</v>
      </c>
      <c r="SZ14">
        <v>1.3748916558339003E-2</v>
      </c>
      <c r="TA14">
        <v>0</v>
      </c>
      <c r="TB14">
        <v>0</v>
      </c>
      <c r="TC14">
        <v>3.1483017586177379E-2</v>
      </c>
      <c r="TD14">
        <v>0</v>
      </c>
      <c r="TE14">
        <v>0</v>
      </c>
      <c r="TF14">
        <v>0</v>
      </c>
      <c r="TG14">
        <v>0</v>
      </c>
      <c r="TH14">
        <v>0.27952757880113982</v>
      </c>
      <c r="TI14">
        <v>3.961072119177957E-5</v>
      </c>
      <c r="TJ14">
        <v>0</v>
      </c>
      <c r="TK14">
        <v>0</v>
      </c>
      <c r="TL14">
        <v>0</v>
      </c>
      <c r="TM14">
        <v>9.924573243350536E-2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</row>
    <row r="15" spans="1:542" x14ac:dyDescent="0.25">
      <c r="A15" s="10"/>
      <c r="B15" s="5" t="s">
        <v>9</v>
      </c>
      <c r="C15">
        <v>-1807.6</v>
      </c>
      <c r="D15">
        <v>-1065.600000000001</v>
      </c>
      <c r="E15">
        <v>-1065.5999999999981</v>
      </c>
      <c r="F15">
        <v>-1065.6000000000072</v>
      </c>
      <c r="G15">
        <v>-1065.5999999999999</v>
      </c>
      <c r="H15">
        <v>-1065.5999999999999</v>
      </c>
      <c r="I15">
        <v>-1065.6000000000001</v>
      </c>
      <c r="J15">
        <v>-1065.6000000000017</v>
      </c>
    </row>
    <row r="16" spans="1:542" x14ac:dyDescent="0.25">
      <c r="A16" s="10"/>
      <c r="B16" s="5" t="s">
        <v>10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s="10"/>
      <c r="B17" s="5" t="s">
        <v>12</v>
      </c>
      <c r="C17">
        <v>0.17802505909155272</v>
      </c>
      <c r="D17">
        <v>2.2352546985417479</v>
      </c>
      <c r="E17">
        <v>0.6956744323798828</v>
      </c>
      <c r="F17">
        <v>1.2151139888708495</v>
      </c>
      <c r="G17">
        <v>1.5210729072218017</v>
      </c>
      <c r="H17">
        <v>2.3627491583466798</v>
      </c>
      <c r="I17">
        <v>2.4020694940242922</v>
      </c>
      <c r="J17">
        <v>2.7002262372469481</v>
      </c>
    </row>
    <row r="18" spans="1:10" x14ac:dyDescent="0.25">
      <c r="A18" s="10"/>
      <c r="B18" s="5" t="s">
        <v>11</v>
      </c>
      <c r="C18">
        <v>1080.5356099999999</v>
      </c>
      <c r="D18">
        <v>2.5759400000000001</v>
      </c>
      <c r="E18">
        <v>2.5093299999999998</v>
      </c>
      <c r="F18">
        <v>1.9658599999999999</v>
      </c>
      <c r="G18">
        <v>1.2159500000000001</v>
      </c>
      <c r="H18">
        <v>1.0455099999999999</v>
      </c>
      <c r="I18">
        <v>0.11237999999999999</v>
      </c>
      <c r="J18">
        <v>0</v>
      </c>
    </row>
  </sheetData>
  <mergeCells count="3">
    <mergeCell ref="A1:A4"/>
    <mergeCell ref="A6:A11"/>
    <mergeCell ref="A13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5bus</vt:lpstr>
      <vt:lpstr>39bus</vt:lpstr>
      <vt:lpstr>118bus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2026-02-19T02:55:44Z</dcterms:modified>
</cp:coreProperties>
</file>