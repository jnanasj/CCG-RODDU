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agan024\Desktop\CCG-RODDU\DNEL\data\"/>
    </mc:Choice>
  </mc:AlternateContent>
  <xr:revisionPtr revIDLastSave="0" documentId="13_ncr:1_{C0AD5C8A-E53F-4357-9DE2-4F177CCD8959}" xr6:coauthVersionLast="47" xr6:coauthVersionMax="47" xr10:uidLastSave="{00000000-0000-0000-0000-000000000000}"/>
  <bookViews>
    <workbookView xWindow="-27345" yWindow="3015" windowWidth="21600" windowHeight="12645" xr2:uid="{00000000-000D-0000-FFFF-FFFF00000000}"/>
  </bookViews>
  <sheets>
    <sheet name="generators" sheetId="2" r:id="rId1"/>
    <sheet name="system" sheetId="3" r:id="rId2"/>
    <sheet name="renewables" sheetId="4" r:id="rId3"/>
  </sheets>
  <definedNames>
    <definedName name="ExternalData_1" localSheetId="0" hidden="1">generators!$A$1:$F$4</definedName>
    <definedName name="ExternalData_1" localSheetId="1" hidden="1">system!$A$1:$E$7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4" l="1"/>
  <c r="D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D368D-0ECD-4B28-9398-5AB12D4AF537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5783B868-A986-41B9-BE43-A3C103014B39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</connections>
</file>

<file path=xl/sharedStrings.xml><?xml version="1.0" encoding="utf-8"?>
<sst xmlns="http://schemas.openxmlformats.org/spreadsheetml/2006/main" count="17" uniqueCount="16">
  <si>
    <t>Unit</t>
  </si>
  <si>
    <t>𝑃_{𝑖}^{𝑙} (kW)</t>
  </si>
  <si>
    <t>𝑃_{𝑖}^{𝑢} (kW)</t>
  </si>
  <si>
    <t>𝑟^{∗} (kW)</t>
  </si>
  <si>
    <t>𝑝^{∗} (kW)</t>
  </si>
  <si>
    <t>Location
(Node.)</t>
  </si>
  <si>
    <t>From</t>
  </si>
  <si>
    <t>To</t>
  </si>
  <si>
    <t>𝑋</t>
  </si>
  <si>
    <t>𝐹_{𝑙} (kW)</t>
  </si>
  <si>
    <t>Fixed demand at
from-node (kW)</t>
  </si>
  <si>
    <t>Bus</t>
  </si>
  <si>
    <t>contribution factor</t>
  </si>
  <si>
    <t>forecast [kW]</t>
  </si>
  <si>
    <t>min capacity [kW]</t>
  </si>
  <si>
    <t>max capacity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</si>
</sst>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horizontal="right"/>
    </xf>
    <xf numFmtId="0" fontId="1" fillId="0" borderId="0" xfId="0" applyFon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E595AF-3152-4D6F-BA7F-1DDF893D7D7F}" autoFormatId="16" applyNumberFormats="0" applyBorderFormats="0" applyFontFormats="0" applyPatternFormats="0" applyAlignmentFormats="0" applyWidthHeightFormats="0">
  <queryTableRefresh nextId="7">
    <queryTableFields count="6">
      <queryTableField id="1" name="Unit" tableColumnId="1"/>
      <queryTableField id="2" name="𝑃_{𝑖}^{𝑙} (kW)" tableColumnId="2"/>
      <queryTableField id="3" name="𝑃_{𝑖}^{𝑢} (kW)" tableColumnId="3"/>
      <queryTableField id="4" name="𝑟^{∗} (kW)" tableColumnId="4"/>
      <queryTableField id="5" name="𝑝^{∗} (kW)" tableColumnId="5"/>
      <queryTableField id="6" name="Location_x000a_(Node.)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D49AF08-B8AC-416D-B97B-93B35C183C01}" autoFormatId="16" applyNumberFormats="0" applyBorderFormats="0" applyFontFormats="0" applyPatternFormats="0" applyAlignmentFormats="0" applyWidthHeightFormats="0">
  <queryTableRefresh nextId="6">
    <queryTableFields count="5">
      <queryTableField id="1" name="From" tableColumnId="1"/>
      <queryTableField id="2" name="To" tableColumnId="2"/>
      <queryTableField id="3" name="𝑋" tableColumnId="3"/>
      <queryTableField id="4" name="𝐹_{𝑙} (kW)" tableColumnId="4"/>
      <queryTableField id="5" name="Fixed demand at_x000a_from-node (kW)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686708-1BE7-40D7-B9B8-490F945A8007}" name="Table001__Page_1" displayName="Table001__Page_1" ref="A1:F4" tableType="queryTable" totalsRowShown="0">
  <autoFilter ref="A1:F4" xr:uid="{1B686708-1BE7-40D7-B9B8-490F945A8007}"/>
  <tableColumns count="6">
    <tableColumn id="1" xr3:uid="{105E2DF5-6C7F-402B-AEA4-60A4FC59CC17}" uniqueName="1" name="Unit" queryTableFieldId="1"/>
    <tableColumn id="2" xr3:uid="{55DEE357-0150-473F-82EA-1DF2A2260AD2}" uniqueName="2" name="𝑃_{𝑖}^{𝑙} (kW)" queryTableFieldId="2"/>
    <tableColumn id="3" xr3:uid="{8732D8BF-51AB-47CF-8B27-BA17FEE66000}" uniqueName="3" name="𝑃_{𝑖}^{𝑢} (kW)" queryTableFieldId="3"/>
    <tableColumn id="4" xr3:uid="{6B3BC339-9807-4E7C-BFAE-C5898539565D}" uniqueName="4" name="𝑟^{∗} (kW)" queryTableFieldId="4"/>
    <tableColumn id="5" xr3:uid="{50219DC4-0E67-4009-B3FB-DF5EA6BBA707}" uniqueName="5" name="𝑝^{∗} (kW)" queryTableFieldId="5"/>
    <tableColumn id="6" xr3:uid="{FDA96EC7-1E3D-4B00-8DE2-60C3E147FDA6}" uniqueName="6" name="Location_x000a_(Node.)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296022-B993-4AF3-8535-3C78607F2540}" name="Table002__Page_1" displayName="Table002__Page_1" ref="A1:E7" tableType="queryTable" totalsRowShown="0">
  <autoFilter ref="A1:E7" xr:uid="{85296022-B993-4AF3-8535-3C78607F2540}"/>
  <tableColumns count="5">
    <tableColumn id="1" xr3:uid="{20FA16A5-6E15-41BB-883D-4D871B4B99B4}" uniqueName="1" name="From" queryTableFieldId="1"/>
    <tableColumn id="2" xr3:uid="{9EC68108-ACAE-47F2-A75F-58757D328BD5}" uniqueName="2" name="To" queryTableFieldId="2"/>
    <tableColumn id="3" xr3:uid="{7CF7D0EE-B002-46A4-8E73-388C07E47938}" uniqueName="3" name="𝑋" queryTableFieldId="3"/>
    <tableColumn id="4" xr3:uid="{7F8D85B7-8250-4CDB-B502-4FBB029CD0AE}" uniqueName="4" name="𝐹_{𝑙} (kW)" queryTableFieldId="4"/>
    <tableColumn id="5" xr3:uid="{B438D340-CF9B-45C5-A56E-A821AE3719F3}" uniqueName="5" name="Fixed demand at_x000a_from-node (kW)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8E122-2195-4A94-92D4-9A41D0E1F00A}">
  <dimension ref="A1:F4"/>
  <sheetViews>
    <sheetView tabSelected="1" workbookViewId="0">
      <selection activeCell="C2" sqref="C2"/>
    </sheetView>
  </sheetViews>
  <sheetFormatPr defaultRowHeight="15" x14ac:dyDescent="0.25"/>
  <cols>
    <col min="1" max="1" width="7.140625" bestFit="1" customWidth="1"/>
    <col min="2" max="2" width="16.28515625" bestFit="1" customWidth="1"/>
    <col min="3" max="3" width="16.85546875" bestFit="1" customWidth="1"/>
    <col min="4" max="4" width="12.85546875" bestFit="1" customWidth="1"/>
    <col min="5" max="5" width="13" bestFit="1" customWidth="1"/>
    <col min="6" max="6" width="18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>
        <v>200</v>
      </c>
      <c r="C2">
        <v>300</v>
      </c>
      <c r="D2">
        <v>50</v>
      </c>
      <c r="E2">
        <v>250</v>
      </c>
      <c r="F2">
        <v>1</v>
      </c>
    </row>
    <row r="3" spans="1:6" x14ac:dyDescent="0.25">
      <c r="A3">
        <v>2</v>
      </c>
      <c r="B3">
        <v>150</v>
      </c>
      <c r="C3">
        <v>350</v>
      </c>
      <c r="D3">
        <v>150</v>
      </c>
      <c r="E3">
        <v>300</v>
      </c>
      <c r="F3">
        <v>4</v>
      </c>
    </row>
    <row r="4" spans="1:6" x14ac:dyDescent="0.25">
      <c r="A4">
        <v>3</v>
      </c>
      <c r="B4">
        <v>100</v>
      </c>
      <c r="C4">
        <v>250</v>
      </c>
      <c r="D4">
        <v>100</v>
      </c>
      <c r="E4">
        <v>220</v>
      </c>
      <c r="F4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CD5B0-7581-4232-A97C-D80B85BB569A}">
  <dimension ref="A1:E7"/>
  <sheetViews>
    <sheetView workbookViewId="0">
      <selection activeCell="I21" sqref="I21"/>
    </sheetView>
  </sheetViews>
  <sheetFormatPr defaultRowHeight="15" x14ac:dyDescent="0.25"/>
  <cols>
    <col min="1" max="1" width="7.85546875" bestFit="1" customWidth="1"/>
    <col min="2" max="2" width="5.42578125" bestFit="1" customWidth="1"/>
    <col min="3" max="3" width="7" bestFit="1" customWidth="1"/>
    <col min="4" max="4" width="12.85546875" bestFit="1" customWidth="1"/>
    <col min="5" max="5" width="34.28515625" style="1" bestFit="1" customWidth="1"/>
  </cols>
  <sheetData>
    <row r="1" spans="1:5" x14ac:dyDescent="0.25">
      <c r="A1" t="s">
        <v>6</v>
      </c>
      <c r="B1" t="s">
        <v>7</v>
      </c>
      <c r="C1" t="s">
        <v>8</v>
      </c>
      <c r="D1" t="s">
        <v>9</v>
      </c>
      <c r="E1" s="1" t="s">
        <v>10</v>
      </c>
    </row>
    <row r="2" spans="1:5" x14ac:dyDescent="0.25">
      <c r="A2">
        <v>1</v>
      </c>
      <c r="B2">
        <v>2</v>
      </c>
      <c r="C2">
        <v>2.81E-2</v>
      </c>
      <c r="D2">
        <v>300</v>
      </c>
      <c r="E2" s="2">
        <v>0</v>
      </c>
    </row>
    <row r="3" spans="1:5" x14ac:dyDescent="0.25">
      <c r="A3">
        <v>1</v>
      </c>
      <c r="B3">
        <v>4</v>
      </c>
      <c r="C3">
        <v>3.04E-2</v>
      </c>
      <c r="D3">
        <v>200</v>
      </c>
      <c r="E3" s="1">
        <v>0</v>
      </c>
    </row>
    <row r="4" spans="1:5" x14ac:dyDescent="0.25">
      <c r="A4">
        <v>1</v>
      </c>
      <c r="B4">
        <v>5</v>
      </c>
      <c r="C4">
        <v>6.4000000000000003E-3</v>
      </c>
      <c r="D4">
        <v>80</v>
      </c>
      <c r="E4" s="1">
        <v>0</v>
      </c>
    </row>
    <row r="5" spans="1:5" x14ac:dyDescent="0.25">
      <c r="A5">
        <v>2</v>
      </c>
      <c r="B5">
        <v>3</v>
      </c>
      <c r="C5">
        <v>1.0800000000000001E-2</v>
      </c>
      <c r="D5">
        <v>30</v>
      </c>
      <c r="E5" s="1">
        <v>385</v>
      </c>
    </row>
    <row r="6" spans="1:5" x14ac:dyDescent="0.25">
      <c r="A6">
        <v>3</v>
      </c>
      <c r="B6">
        <v>4</v>
      </c>
      <c r="C6">
        <v>2.9700000000000001E-2</v>
      </c>
      <c r="D6">
        <v>201</v>
      </c>
      <c r="E6" s="1">
        <v>375</v>
      </c>
    </row>
    <row r="7" spans="1:5" x14ac:dyDescent="0.25">
      <c r="A7">
        <v>4</v>
      </c>
      <c r="B7">
        <v>5</v>
      </c>
      <c r="C7">
        <v>2.9700000000000001E-2</v>
      </c>
      <c r="D7">
        <v>300</v>
      </c>
      <c r="E7" s="1">
        <v>365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5C503-C955-4260-A848-C25841703044}">
  <dimension ref="A1:F3"/>
  <sheetViews>
    <sheetView workbookViewId="0">
      <selection activeCell="D2" sqref="D2"/>
    </sheetView>
  </sheetViews>
  <sheetFormatPr defaultRowHeight="15" x14ac:dyDescent="0.25"/>
  <cols>
    <col min="3" max="3" width="18.5703125" customWidth="1"/>
    <col min="4" max="4" width="13.5703125" customWidth="1"/>
    <col min="5" max="5" width="17.42578125" customWidth="1"/>
    <col min="6" max="6" width="18" customWidth="1"/>
  </cols>
  <sheetData>
    <row r="1" spans="1:6" s="3" customFormat="1" x14ac:dyDescent="0.25">
      <c r="A1" s="3" t="s">
        <v>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</row>
    <row r="2" spans="1:6" x14ac:dyDescent="0.25">
      <c r="A2">
        <v>1</v>
      </c>
      <c r="B2">
        <v>3</v>
      </c>
      <c r="C2">
        <v>1</v>
      </c>
      <c r="D2">
        <f>(E2+F2)/2</f>
        <v>230</v>
      </c>
      <c r="E2">
        <v>160</v>
      </c>
      <c r="F2">
        <v>300</v>
      </c>
    </row>
    <row r="3" spans="1:6" x14ac:dyDescent="0.25">
      <c r="A3">
        <v>2</v>
      </c>
      <c r="B3">
        <v>5</v>
      </c>
      <c r="C3">
        <v>1</v>
      </c>
      <c r="D3">
        <f>(E3+F3)/2</f>
        <v>125</v>
      </c>
      <c r="E3">
        <v>0</v>
      </c>
      <c r="F3">
        <v>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669ECD4-B702-446F-9BE3-9CF8485F4F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generators</vt:lpstr>
      <vt:lpstr>system</vt:lpstr>
      <vt:lpstr>renewables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Jnana Sai Jagana</dc:creator>
  <cp:lastModifiedBy>Jnana Sai Jagana</cp:lastModifiedBy>
  <dcterms:created xsi:type="dcterms:W3CDTF">2015-06-05T18:17:20Z</dcterms:created>
  <dcterms:modified xsi:type="dcterms:W3CDTF">2026-02-16T00:00:03Z</dcterms:modified>
</cp:coreProperties>
</file>