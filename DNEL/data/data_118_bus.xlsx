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DNEL\data\"/>
    </mc:Choice>
  </mc:AlternateContent>
  <xr:revisionPtr revIDLastSave="0" documentId="13_ncr:1_{3462254A-4409-4D85-8730-7699841EDABB}" xr6:coauthVersionLast="47" xr6:coauthVersionMax="47" xr10:uidLastSave="{00000000-0000-0000-0000-000000000000}"/>
  <bookViews>
    <workbookView xWindow="3105" yWindow="3135" windowWidth="12885" windowHeight="11295" activeTab="3" xr2:uid="{00000000-000D-0000-FFFF-FFFF00000000}"/>
  </bookViews>
  <sheets>
    <sheet name="generators" sheetId="2" r:id="rId1"/>
    <sheet name="system" sheetId="3" r:id="rId2"/>
    <sheet name="load" sheetId="9" r:id="rId3"/>
    <sheet name="renewables" sheetId="13" r:id="rId4"/>
  </sheets>
  <definedNames>
    <definedName name="ExternalData_1" localSheetId="0" hidden="1">generators!$A$1:$E$55</definedName>
    <definedName name="ExternalData_1" localSheetId="2" hidden="1">load!$A$1:$B$100</definedName>
    <definedName name="ExternalData_1" localSheetId="3" hidden="1">renewables!$A$1:$E$11</definedName>
    <definedName name="ExternalData_1" localSheetId="1" hidden="1">system!$B:$D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3" l="1"/>
  <c r="F3" i="13"/>
  <c r="F4" i="13"/>
  <c r="F5" i="13"/>
  <c r="F6" i="13"/>
  <c r="F7" i="13"/>
  <c r="F8" i="13"/>
  <c r="F9" i="13"/>
  <c r="F10" i="13"/>
  <c r="F11" i="13"/>
  <c r="E46" i="2"/>
  <c r="E45" i="2"/>
  <c r="E44" i="2"/>
  <c r="E41" i="2"/>
  <c r="E30" i="2"/>
  <c r="E29" i="2"/>
  <c r="E22" i="2"/>
  <c r="E21" i="2"/>
  <c r="E12" i="2"/>
  <c r="E11" i="2"/>
  <c r="E6" i="2"/>
  <c r="E5" i="2"/>
  <c r="E40" i="2"/>
  <c r="E28" i="2"/>
  <c r="E3" i="2"/>
  <c r="E4" i="2"/>
  <c r="E7" i="2"/>
  <c r="E8" i="2"/>
  <c r="E9" i="2"/>
  <c r="E10" i="2"/>
  <c r="E13" i="2"/>
  <c r="E14" i="2"/>
  <c r="E15" i="2"/>
  <c r="E16" i="2"/>
  <c r="E17" i="2"/>
  <c r="E18" i="2"/>
  <c r="E19" i="2"/>
  <c r="E20" i="2"/>
  <c r="E23" i="2"/>
  <c r="E24" i="2"/>
  <c r="E25" i="2"/>
  <c r="E26" i="2"/>
  <c r="E27" i="2"/>
  <c r="E31" i="2"/>
  <c r="E32" i="2"/>
  <c r="E33" i="2"/>
  <c r="E34" i="2"/>
  <c r="E35" i="2"/>
  <c r="E36" i="2"/>
  <c r="E37" i="2"/>
  <c r="E38" i="2"/>
  <c r="E39" i="2"/>
  <c r="E42" i="2"/>
  <c r="E43" i="2"/>
  <c r="E47" i="2"/>
  <c r="E48" i="2"/>
  <c r="E49" i="2"/>
  <c r="E50" i="2"/>
  <c r="E51" i="2"/>
  <c r="E52" i="2"/>
  <c r="E53" i="2"/>
  <c r="E54" i="2"/>
  <c r="E55" i="2"/>
  <c r="E2" i="2"/>
  <c r="D11" i="13"/>
  <c r="D10" i="13"/>
  <c r="D4" i="13"/>
  <c r="D5" i="13"/>
  <c r="D3" i="13"/>
  <c r="D2" i="13"/>
  <c r="J4" i="2" l="1"/>
  <c r="J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E0A33C-7283-42EE-98E3-FC14263355D0}" keepAlive="1" name="Query - Table001 (Page 2)" description="Connection to the 'Table001 (Page 2)' query in the workbook." type="5" refreshedVersion="8" background="1" saveData="1">
    <dbPr connection="Provider=Microsoft.Mashup.OleDb.1;Data Source=$Workbook$;Location=&quot;Table001 (Page 2)&quot;;Extended Properties=&quot;&quot;" command="SELECT * FROM [Table001 (Page 2)]"/>
  </connection>
  <connection id="2" xr16:uid="{471A248A-DEA9-49F8-9163-8B9703C09BFF}" keepAlive="1" name="Query - Table002 (Page 1)" description="Connection to the 'Table002 (Page 1)' query in the workbook." type="5" refreshedVersion="0" background="1">
    <dbPr connection="Provider=Microsoft.Mashup.OleDb.1;Data Source=$Workbook$;Location=&quot;Table002 (Page 1)&quot;;Extended Properties=&quot;&quot;" command="SELECT * FROM [Table002 (Page 1)]"/>
  </connection>
  <connection id="3" xr16:uid="{A9705684-D143-4656-958D-2A42FF4DE9F1}" keepAlive="1" name="Query - Table003 (Page 2)" description="Connection to the 'Table003 (Page 2)' query in the workbook." type="5" refreshedVersion="0" background="1">
    <dbPr connection="Provider=Microsoft.Mashup.OleDb.1;Data Source=$Workbook$;Location=&quot;Table003 (Page 2)&quot;;Extended Properties=&quot;&quot;" command="SELECT * FROM [Table003 (Page 2)]"/>
  </connection>
  <connection id="4" xr16:uid="{65209CA8-23AF-4296-8D97-5A49F0626A74}" keepAlive="1" name="Query - Table006 (Page 5)" description="Connection to the 'Table006 (Page 5)' query in the workbook." type="5" refreshedVersion="8" background="1" saveData="1">
    <dbPr connection="Provider=Microsoft.Mashup.OleDb.1;Data Source=$Workbook$;Location=&quot;Table006 (Page 5)&quot;;Extended Properties=&quot;&quot;" command="SELECT * FROM [Table006 (Page 5)]"/>
  </connection>
  <connection id="5" xr16:uid="{C9C7C086-B6C5-4810-9AD4-DB7BB7423C53}" keepAlive="1" name="Query - Table007 (Page 6)" description="Connection to the 'Table007 (Page 6)' query in the workbook." type="5" refreshedVersion="0" background="1">
    <dbPr connection="Provider=Microsoft.Mashup.OleDb.1;Data Source=$Workbook$;Location=&quot;Table007 (Page 6)&quot;;Extended Properties=&quot;&quot;" command="SELECT * FROM [Table007 (Page 6)]"/>
  </connection>
  <connection id="6" xr16:uid="{7E465BFD-6E55-4690-8E97-F97DF7B66FDE}" keepAlive="1" name="Query - Table008 (Page 7)" description="Connection to the 'Table008 (Page 7)' query in the workbook." type="5" refreshedVersion="0" background="1">
    <dbPr connection="Provider=Microsoft.Mashup.OleDb.1;Data Source=$Workbook$;Location=&quot;Table008 (Page 7)&quot;;Extended Properties=&quot;&quot;" command="SELECT * FROM [Table008 (Page 7)]"/>
  </connection>
  <connection id="7" xr16:uid="{552250DB-736A-474D-8B82-AB67BA7BD78A}" keepAlive="1" name="Query - Table009 (Page 8)" description="Connection to the 'Table009 (Page 8)' query in the workbook." type="5" refreshedVersion="0" background="1">
    <dbPr connection="Provider=Microsoft.Mashup.OleDb.1;Data Source=$Workbook$;Location=&quot;Table009 (Page 8)&quot;;Extended Properties=&quot;&quot;" command="SELECT * FROM [Table009 (Page 8)]"/>
  </connection>
  <connection id="8" xr16:uid="{D637213B-F1D9-4FF4-ACB4-990BCDEEB6B6}" keepAlive="1" name="Query - Table010 (Page 9)" description="Connection to the 'Table010 (Page 9)' query in the workbook." type="5" refreshedVersion="0" background="1">
    <dbPr connection="Provider=Microsoft.Mashup.OleDb.1;Data Source=$Workbook$;Location=&quot;Table010 (Page 9)&quot;;Extended Properties=&quot;&quot;" command="SELECT * FROM [Table010 (Page 9)]"/>
  </connection>
  <connection id="9" xr16:uid="{2CF0443F-CA27-4D0C-AB78-F84AF6FB6C75}" keepAlive="1" name="Query - Table011 (Page 10)" description="Connection to the 'Table011 (Page 10)' query in the workbook." type="5" refreshedVersion="0" background="1">
    <dbPr connection="Provider=Microsoft.Mashup.OleDb.1;Data Source=$Workbook$;Location=&quot;Table011 (Page 10)&quot;;Extended Properties=&quot;&quot;" command="SELECT * FROM [Table011 (Page 10)]"/>
  </connection>
  <connection id="10" xr16:uid="{EF174DD3-5A46-430F-966B-B55042D5402A}" keepAlive="1" name="Query - Table013 (Page 10)" description="Connection to the 'Table013 (Page 10)' query in the workbook." type="5" refreshedVersion="8" background="1" saveData="1">
    <dbPr connection="Provider=Microsoft.Mashup.OleDb.1;Data Source=$Workbook$;Location=&quot;Table013 (Page 10)&quot;;Extended Properties=&quot;&quot;" command="SELECT * FROM [Table013 (Page 10)]"/>
  </connection>
  <connection id="11" xr16:uid="{CDB684A3-AE2E-4BA6-B60A-83D54FDDE331}" keepAlive="1" name="Query - Table014 (Page 11)" description="Connection to the 'Table014 (Page 11)' query in the workbook." type="5" refreshedVersion="0" background="1">
    <dbPr connection="Provider=Microsoft.Mashup.OleDb.1;Data Source=$Workbook$;Location=&quot;Table014 (Page 11)&quot;;Extended Properties=&quot;&quot;" command="SELECT * FROM [Table014 (Page 11)]"/>
  </connection>
  <connection id="12" xr16:uid="{BE2C963D-EFC9-4D54-AB53-AF9ACFA51D39}" keepAlive="1" name="Query - Table015 (Page 12)" description="Connection to the 'Table015 (Page 12)' query in the workbook." type="5" refreshedVersion="0" background="1">
    <dbPr connection="Provider=Microsoft.Mashup.OleDb.1;Data Source=$Workbook$;Location=&quot;Table015 (Page 12)&quot;;Extended Properties=&quot;&quot;" command="SELECT * FROM [Table015 (Page 12)]"/>
  </connection>
  <connection id="13" xr16:uid="{99DCC2DF-327E-40A9-92DC-4F8BF8C8B653}" keepAlive="1" name="Query - Table016 (Page 13)" description="Connection to the 'Table016 (Page 13)' query in the workbook." type="5" refreshedVersion="0" background="1">
    <dbPr connection="Provider=Microsoft.Mashup.OleDb.1;Data Source=$Workbook$;Location=&quot;Table016 (Page 13)&quot;;Extended Properties=&quot;&quot;" command="SELECT * FROM [Table016 (Page 13)]"/>
  </connection>
  <connection id="14" xr16:uid="{B5BB6F90-A25C-4495-B6B7-0E37B8C30393}" keepAlive="1" name="Query - Table027 (Page 19)" description="Connection to the 'Table027 (Page 19)' query in the workbook." type="5" refreshedVersion="8" background="1" saveData="1">
    <dbPr connection="Provider=Microsoft.Mashup.OleDb.1;Data Source=$Workbook$;Location=&quot;Table027 (Page 19)&quot;;Extended Properties=&quot;&quot;" command="SELECT * FROM [Table027 (Page 19)]"/>
  </connection>
</connections>
</file>

<file path=xl/sharedStrings.xml><?xml version="1.0" encoding="utf-8"?>
<sst xmlns="http://schemas.openxmlformats.org/spreadsheetml/2006/main" count="38" uniqueCount="37">
  <si>
    <t>U</t>
  </si>
  <si>
    <t>Bus No.</t>
  </si>
  <si>
    <t>P_{g}
(MW)</t>
  </si>
  <si>
    <t>P_{max}
(MW)</t>
  </si>
  <si>
    <t>P_{min}
(MW)</t>
  </si>
  <si>
    <t>𝑟^{∗} (kW)</t>
  </si>
  <si>
    <t>From Bus</t>
  </si>
  <si>
    <t>To Bus</t>
  </si>
  <si>
    <t>X (pu)</t>
  </si>
  <si>
    <t>Flow Limit
(MW)</t>
  </si>
  <si>
    <t>P_{d}
(MW)</t>
  </si>
  <si>
    <t>Wind Farm #</t>
  </si>
  <si>
    <t>Host Bus</t>
  </si>
  <si>
    <t>Wind Power Forecast (μ) (MW)</t>
  </si>
  <si>
    <t>contribution factor</t>
  </si>
  <si>
    <t>min capacity (MW)</t>
  </si>
  <si>
    <t>max capacity</t>
  </si>
  <si>
    <t>4</t>
  </si>
  <si>
    <t>15</t>
  </si>
  <si>
    <t>40</t>
  </si>
  <si>
    <t>6</t>
  </si>
  <si>
    <t>8</t>
  </si>
  <si>
    <t>10</t>
  </si>
  <si>
    <t>12</t>
  </si>
  <si>
    <t>18</t>
  </si>
  <si>
    <t>25</t>
  </si>
  <si>
    <t>19</t>
  </si>
  <si>
    <t>24</t>
  </si>
  <si>
    <t>26</t>
  </si>
  <si>
    <t>27</t>
  </si>
  <si>
    <t>31</t>
  </si>
  <si>
    <t>32</t>
  </si>
  <si>
    <t>42</t>
  </si>
  <si>
    <t>34</t>
  </si>
  <si>
    <t>36</t>
  </si>
  <si>
    <t>46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</si>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</sst>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2" fontId="0" fillId="2" borderId="1" xfId="0" applyNumberFormat="1" applyFill="1" applyBorder="1" applyAlignment="1">
      <alignment horizontal="righ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5"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35A300-A489-44B4-A2E7-356EFA20CB0C}" autoFormatId="16" applyNumberFormats="0" applyBorderFormats="0" applyFontFormats="0" applyPatternFormats="0" applyAlignmentFormats="0" applyWidthHeightFormats="0">
  <queryTableRefresh nextId="12" unboundColumnsRight="1">
    <queryTableFields count="6">
      <queryTableField id="1" name="U" tableColumnId="1"/>
      <queryTableField id="2" dataBound="0" tableColumnId="2"/>
      <queryTableField id="6" name="P_{max}_x000a_(MW)" tableColumnId="11"/>
      <queryTableField id="11" dataBound="0" tableColumnId="12"/>
      <queryTableField id="3" name="P_{g}_x000a_(MW)" tableColumnId="3"/>
      <queryTableField id="10" dataBound="0" tableColumnId="6"/>
    </queryTableFields>
    <queryTableDeletedFields count="6">
      <deletedField name="Q_{max}_x000a_(MVar)"/>
      <deletedField name="Q_{min}_x000a_(MVar)"/>
      <deletedField name="Marginal Cost_x000a_($/MWh)"/>
      <deletedField name="Q_{g}_x000a_(MVar)"/>
      <deletedField name="Bus No."/>
      <deletedField name="P_{min}_x000a_(MW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7E98AE7-FAC0-40DB-A612-652150E9403A}" autoFormatId="16" applyNumberFormats="0" applyBorderFormats="0" applyFontFormats="0" applyPatternFormats="0" applyAlignmentFormats="0" applyWidthHeightFormats="0">
  <queryTableRefresh nextId="10" unboundColumnsLeft="1">
    <queryTableFields count="4">
      <queryTableField id="8" dataBound="0" tableColumnId="8"/>
      <queryTableField id="2" name="From Bus" tableColumnId="2"/>
      <queryTableField id="5" name="X (pu)" tableColumnId="5"/>
      <queryTableField id="7" name="Flow Limit_x000a_(MW)" tableColumnId="7"/>
    </queryTableFields>
    <queryTableDeletedFields count="4">
      <deletedField name="R (pu)"/>
      <deletedField name="β (pu)"/>
      <deletedField name="To Bus"/>
      <deletedField name="Line No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8DD0CAE-31B4-406B-A875-DD79E9C17764}" autoFormatId="16" applyNumberFormats="0" applyBorderFormats="0" applyFontFormats="0" applyPatternFormats="0" applyAlignmentFormats="0" applyWidthHeightFormats="0">
  <queryTableRefresh nextId="5">
    <queryTableFields count="2">
      <queryTableField id="1" name="Bus No." tableColumnId="1"/>
      <queryTableField id="2" name="P_{d}_x000a_(MW)" tableColumnId="2"/>
    </queryTableFields>
    <queryTableDeletedFields count="2">
      <deletedField name="Q_{d}_x000a_(MVar)"/>
      <deletedField name="VOLL_x000a_($/MWh)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C3BC4677-0BF6-4366-89F1-AC45E3B21FCA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Wind Farm #" tableColumnId="1"/>
      <queryTableField id="2" name="Host Bus" tableColumnId="2"/>
      <queryTableField id="5" dataBound="0" tableColumnId="5"/>
      <queryTableField id="3" name="Wind Power Forecast (μ) (MW)" tableColumnId="3"/>
      <queryTableField id="4" name="Wind Power Standard Deviation (MW)" tableColumnId="4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F50E93-558B-4F8E-88FD-7168A9231E5A}" name="Table001__Page_2" displayName="Table001__Page_2" ref="A1:F55" tableType="queryTable" totalsRowShown="0">
  <autoFilter ref="A1:F55" xr:uid="{7DF50E93-558B-4F8E-88FD-7168A9231E5A}"/>
  <tableColumns count="6">
    <tableColumn id="1" xr3:uid="{4462F024-15CE-4300-904D-95A28BC2D2FB}" uniqueName="1" name="U" queryTableFieldId="1"/>
    <tableColumn id="2" xr3:uid="{DBEE339C-126F-48B8-B1F4-0BBCD8FED93B}" uniqueName="2" name="P_{min}_x000a_(MW)" queryTableFieldId="2" dataDxfId="4"/>
    <tableColumn id="11" xr3:uid="{488F70C5-1278-4BA3-B640-5533886890E5}" uniqueName="11" name="P_{max}_x000a_(MW)" queryTableFieldId="6" dataDxfId="3"/>
    <tableColumn id="12" xr3:uid="{60EDF81E-7A7F-463C-8C67-A6B9D95911C8}" uniqueName="12" name="𝑟^{∗} (kW)" queryTableFieldId="11" dataDxfId="2">
      <calculatedColumnFormula>L2</calculatedColumnFormula>
    </tableColumn>
    <tableColumn id="3" xr3:uid="{80E08165-FACE-4A60-9FF6-765680D0B9D1}" uniqueName="3" name="P_{g}_x000a_(MW)" queryTableFieldId="3"/>
    <tableColumn id="6" xr3:uid="{55449887-F6F5-498F-9F13-4ECC1EE1EEB2}" uniqueName="6" name="Bus No." queryTableFieldId="10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ED5BB7-2C8A-445B-95B2-CCE72224CF74}" name="Table006__Page_5" displayName="Table006__Page_5" ref="A1:D1048576" tableType="queryTable" totalsRowShown="0">
  <autoFilter ref="A1:D1048576" xr:uid="{BFED5BB7-2C8A-445B-95B2-CCE72224CF74}"/>
  <sortState xmlns:xlrd2="http://schemas.microsoft.com/office/spreadsheetml/2017/richdata2" ref="A2:D187">
    <sortCondition ref="B1:B1048576"/>
  </sortState>
  <tableColumns count="4">
    <tableColumn id="8" xr3:uid="{0A7A2DC7-BB92-446A-8500-B0DBD1854809}" uniqueName="8" name="To Bus" queryTableFieldId="8"/>
    <tableColumn id="2" xr3:uid="{92911335-A5A9-47B5-B061-38814EEB4C91}" uniqueName="2" name="From Bus" queryTableFieldId="2"/>
    <tableColumn id="5" xr3:uid="{79CD5CE4-2EA9-4A67-AC21-E3CFD25563E1}" uniqueName="5" name="X (pu)" queryTableFieldId="5"/>
    <tableColumn id="7" xr3:uid="{ABF14114-0BBE-46CF-9B18-39D5AE327800}" uniqueName="7" name="Flow Limit_x000a_(MW)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C2D9ED-5A30-422E-AF93-9E2F09514B98}" name="Table013__Page_10" displayName="Table013__Page_10" ref="A1:B100" tableType="queryTable" totalsRowShown="0">
  <autoFilter ref="A1:B100" xr:uid="{89C2D9ED-5A30-422E-AF93-9E2F09514B98}"/>
  <tableColumns count="2">
    <tableColumn id="1" xr3:uid="{064CCC1E-8D46-4E0F-A37D-62A876913C6C}" uniqueName="1" name="Bus No." queryTableFieldId="1"/>
    <tableColumn id="2" xr3:uid="{751CCDA4-73EE-41E2-BDCF-C21F99D9C276}" uniqueName="2" name="P_{d}_x000a_(MW)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5BC944B-DC90-40B7-BE53-EE884655B21B}" name="Table027__Page_19" displayName="Table027__Page_19" ref="A1:F11" tableType="queryTable" totalsRowShown="0">
  <autoFilter ref="A1:F11" xr:uid="{A5BC944B-DC90-40B7-BE53-EE884655B21B}"/>
  <tableColumns count="6">
    <tableColumn id="1" xr3:uid="{0BE4311A-8405-4054-A94C-132861FBD552}" uniqueName="1" name="Wind Farm #" queryTableFieldId="1"/>
    <tableColumn id="2" xr3:uid="{88BCB913-8BA3-43BC-A005-EA3E17A1A8DB}" uniqueName="2" name="Host Bus" queryTableFieldId="2"/>
    <tableColumn id="5" xr3:uid="{CACFB7AB-D559-476E-B6FE-29BC6FDD44D3}" uniqueName="5" name="contribution factor" queryTableFieldId="5"/>
    <tableColumn id="3" xr3:uid="{52AE73AD-3326-4339-A6B0-3EB32E0FBB06}" uniqueName="3" name="Wind Power Forecast (μ) (MW)" queryTableFieldId="3"/>
    <tableColumn id="4" xr3:uid="{9D1BF835-DD9C-4102-9FBE-BD69E752647E}" uniqueName="4" name="min capacity (MW)" queryTableFieldId="4"/>
    <tableColumn id="6" xr3:uid="{4622B34B-2559-4633-AAC8-9D30B7BD7227}" uniqueName="6" name="max capacity" queryTableFieldId="6" dataDxfId="0">
      <calculatedColumnFormula>2*D2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BBE5-36F8-4307-87FA-F77AC846B87D}">
  <dimension ref="A1:L55"/>
  <sheetViews>
    <sheetView workbookViewId="0">
      <selection activeCell="D6" sqref="D6"/>
    </sheetView>
  </sheetViews>
  <sheetFormatPr defaultRowHeight="15" x14ac:dyDescent="0.25"/>
  <cols>
    <col min="1" max="1" width="4.7109375" bestFit="1" customWidth="1"/>
    <col min="2" max="4" width="16.7109375" style="2" customWidth="1"/>
    <col min="5" max="5" width="14.28515625" bestFit="1" customWidth="1"/>
    <col min="6" max="6" width="17.140625" bestFit="1" customWidth="1"/>
    <col min="7" max="7" width="10" bestFit="1" customWidth="1"/>
  </cols>
  <sheetData>
    <row r="1" spans="1:12" x14ac:dyDescent="0.25">
      <c r="A1" t="s">
        <v>0</v>
      </c>
      <c r="B1" s="2" t="s">
        <v>4</v>
      </c>
      <c r="C1" s="2" t="s">
        <v>3</v>
      </c>
      <c r="D1" s="2" t="s">
        <v>5</v>
      </c>
      <c r="E1" t="s">
        <v>2</v>
      </c>
      <c r="F1" t="s">
        <v>1</v>
      </c>
    </row>
    <row r="2" spans="1:12" x14ac:dyDescent="0.25">
      <c r="A2">
        <v>1</v>
      </c>
      <c r="B2" s="3">
        <v>5</v>
      </c>
      <c r="C2" s="3">
        <v>30</v>
      </c>
      <c r="D2" s="3">
        <v>0</v>
      </c>
      <c r="E2">
        <f>(B2+C2)/2</f>
        <v>17.5</v>
      </c>
      <c r="F2" s="1" t="s">
        <v>17</v>
      </c>
      <c r="L2" s="4">
        <v>15</v>
      </c>
    </row>
    <row r="3" spans="1:12" x14ac:dyDescent="0.25">
      <c r="A3">
        <v>2</v>
      </c>
      <c r="B3" s="3">
        <v>5</v>
      </c>
      <c r="C3" s="3">
        <v>30</v>
      </c>
      <c r="D3" s="3">
        <v>0</v>
      </c>
      <c r="E3">
        <f t="shared" ref="E3:E55" si="0">(B3+C3)/2</f>
        <v>17.5</v>
      </c>
      <c r="F3" s="1" t="s">
        <v>20</v>
      </c>
      <c r="L3" s="5">
        <v>15</v>
      </c>
    </row>
    <row r="4" spans="1:12" x14ac:dyDescent="0.25">
      <c r="A4">
        <v>3</v>
      </c>
      <c r="B4" s="3">
        <v>5</v>
      </c>
      <c r="C4" s="3">
        <v>30</v>
      </c>
      <c r="D4" s="3">
        <v>0</v>
      </c>
      <c r="E4">
        <f t="shared" si="0"/>
        <v>17.5</v>
      </c>
      <c r="F4" s="1" t="s">
        <v>21</v>
      </c>
      <c r="J4">
        <f>SUM(E2:E55)</f>
        <v>3615.2000000000003</v>
      </c>
      <c r="L4" s="4">
        <v>15</v>
      </c>
    </row>
    <row r="5" spans="1:12" x14ac:dyDescent="0.25">
      <c r="A5">
        <v>4</v>
      </c>
      <c r="B5" s="3">
        <v>150</v>
      </c>
      <c r="C5" s="3">
        <v>300</v>
      </c>
      <c r="D5" s="3">
        <v>0</v>
      </c>
      <c r="E5">
        <f>(B5+C5)/2-60</f>
        <v>165</v>
      </c>
      <c r="F5" s="1" t="s">
        <v>22</v>
      </c>
      <c r="J5">
        <f>J4-3615.2</f>
        <v>0</v>
      </c>
      <c r="L5" s="5">
        <v>150</v>
      </c>
    </row>
    <row r="6" spans="1:12" x14ac:dyDescent="0.25">
      <c r="A6">
        <v>5</v>
      </c>
      <c r="B6" s="3">
        <v>100</v>
      </c>
      <c r="C6" s="3">
        <v>300</v>
      </c>
      <c r="D6" s="3">
        <v>0</v>
      </c>
      <c r="E6">
        <f>(B6+C6)/2-75</f>
        <v>125</v>
      </c>
      <c r="F6" s="1" t="s">
        <v>23</v>
      </c>
      <c r="L6" s="4">
        <v>150</v>
      </c>
    </row>
    <row r="7" spans="1:12" x14ac:dyDescent="0.25">
      <c r="A7">
        <v>6</v>
      </c>
      <c r="B7" s="3">
        <v>10</v>
      </c>
      <c r="C7" s="3">
        <v>30</v>
      </c>
      <c r="D7" s="3">
        <v>0</v>
      </c>
      <c r="E7">
        <f t="shared" si="0"/>
        <v>20</v>
      </c>
      <c r="F7" s="1" t="s">
        <v>18</v>
      </c>
      <c r="L7" s="5">
        <v>15</v>
      </c>
    </row>
    <row r="8" spans="1:12" x14ac:dyDescent="0.25">
      <c r="A8">
        <v>7</v>
      </c>
      <c r="B8" s="3">
        <v>25</v>
      </c>
      <c r="C8" s="3">
        <v>100</v>
      </c>
      <c r="D8" s="3">
        <v>0</v>
      </c>
      <c r="E8">
        <f t="shared" si="0"/>
        <v>62.5</v>
      </c>
      <c r="F8" s="1" t="s">
        <v>24</v>
      </c>
      <c r="L8" s="4">
        <v>50</v>
      </c>
    </row>
    <row r="9" spans="1:12" x14ac:dyDescent="0.25">
      <c r="A9">
        <v>8</v>
      </c>
      <c r="B9" s="3">
        <v>5</v>
      </c>
      <c r="C9" s="3">
        <v>30</v>
      </c>
      <c r="D9" s="3">
        <v>0</v>
      </c>
      <c r="E9">
        <f t="shared" si="0"/>
        <v>17.5</v>
      </c>
      <c r="F9" s="1" t="s">
        <v>26</v>
      </c>
      <c r="L9" s="5">
        <v>15</v>
      </c>
    </row>
    <row r="10" spans="1:12" x14ac:dyDescent="0.25">
      <c r="A10">
        <v>9</v>
      </c>
      <c r="B10" s="3">
        <v>5</v>
      </c>
      <c r="C10" s="3">
        <v>30</v>
      </c>
      <c r="D10" s="3">
        <v>0</v>
      </c>
      <c r="E10">
        <f t="shared" si="0"/>
        <v>17.5</v>
      </c>
      <c r="F10" s="1" t="s">
        <v>27</v>
      </c>
      <c r="L10" s="4">
        <v>15</v>
      </c>
    </row>
    <row r="11" spans="1:12" x14ac:dyDescent="0.25">
      <c r="A11">
        <v>10</v>
      </c>
      <c r="B11" s="3">
        <v>100</v>
      </c>
      <c r="C11" s="3">
        <v>300</v>
      </c>
      <c r="D11" s="3">
        <v>0</v>
      </c>
      <c r="E11">
        <f>(B11+C11)/2-90</f>
        <v>110</v>
      </c>
      <c r="F11" s="1" t="s">
        <v>25</v>
      </c>
      <c r="L11" s="5">
        <v>150</v>
      </c>
    </row>
    <row r="12" spans="1:12" x14ac:dyDescent="0.25">
      <c r="A12">
        <v>11</v>
      </c>
      <c r="B12" s="3">
        <v>100</v>
      </c>
      <c r="C12" s="3">
        <v>350</v>
      </c>
      <c r="D12" s="3">
        <v>0</v>
      </c>
      <c r="E12">
        <f>(B12+C12)/2-90.2</f>
        <v>134.80000000000001</v>
      </c>
      <c r="F12" s="1" t="s">
        <v>28</v>
      </c>
      <c r="L12" s="4">
        <v>175</v>
      </c>
    </row>
    <row r="13" spans="1:12" x14ac:dyDescent="0.25">
      <c r="A13">
        <v>12</v>
      </c>
      <c r="B13" s="3">
        <v>8</v>
      </c>
      <c r="C13" s="3">
        <v>30</v>
      </c>
      <c r="D13" s="3">
        <v>0</v>
      </c>
      <c r="E13">
        <f t="shared" si="0"/>
        <v>19</v>
      </c>
      <c r="F13" s="1" t="s">
        <v>29</v>
      </c>
      <c r="L13" s="5">
        <v>15</v>
      </c>
    </row>
    <row r="14" spans="1:12" x14ac:dyDescent="0.25">
      <c r="A14">
        <v>13</v>
      </c>
      <c r="B14" s="3">
        <v>8</v>
      </c>
      <c r="C14" s="3">
        <v>30</v>
      </c>
      <c r="D14" s="3">
        <v>0</v>
      </c>
      <c r="E14">
        <f t="shared" si="0"/>
        <v>19</v>
      </c>
      <c r="F14" s="1" t="s">
        <v>30</v>
      </c>
      <c r="L14" s="4">
        <v>15</v>
      </c>
    </row>
    <row r="15" spans="1:12" x14ac:dyDescent="0.25">
      <c r="A15">
        <v>14</v>
      </c>
      <c r="B15" s="3">
        <v>25</v>
      </c>
      <c r="C15" s="3">
        <v>100</v>
      </c>
      <c r="D15" s="3">
        <v>0</v>
      </c>
      <c r="E15">
        <f t="shared" si="0"/>
        <v>62.5</v>
      </c>
      <c r="F15" s="1" t="s">
        <v>31</v>
      </c>
      <c r="L15" s="5">
        <v>50</v>
      </c>
    </row>
    <row r="16" spans="1:12" x14ac:dyDescent="0.25">
      <c r="A16">
        <v>15</v>
      </c>
      <c r="B16" s="3">
        <v>8</v>
      </c>
      <c r="C16" s="3">
        <v>30</v>
      </c>
      <c r="D16" s="3">
        <v>0</v>
      </c>
      <c r="E16">
        <f t="shared" si="0"/>
        <v>19</v>
      </c>
      <c r="F16" s="1" t="s">
        <v>33</v>
      </c>
      <c r="L16" s="4">
        <v>15</v>
      </c>
    </row>
    <row r="17" spans="1:12" x14ac:dyDescent="0.25">
      <c r="A17">
        <v>16</v>
      </c>
      <c r="B17" s="3">
        <v>25</v>
      </c>
      <c r="C17" s="3">
        <v>100</v>
      </c>
      <c r="D17" s="3">
        <v>0</v>
      </c>
      <c r="E17">
        <f t="shared" si="0"/>
        <v>62.5</v>
      </c>
      <c r="F17" s="1" t="s">
        <v>34</v>
      </c>
      <c r="L17" s="5">
        <v>50</v>
      </c>
    </row>
    <row r="18" spans="1:12" x14ac:dyDescent="0.25">
      <c r="A18">
        <v>17</v>
      </c>
      <c r="B18" s="3">
        <v>8</v>
      </c>
      <c r="C18" s="3">
        <v>30</v>
      </c>
      <c r="D18" s="3">
        <v>0</v>
      </c>
      <c r="E18">
        <f t="shared" si="0"/>
        <v>19</v>
      </c>
      <c r="F18" s="1" t="s">
        <v>19</v>
      </c>
      <c r="L18" s="4">
        <v>15</v>
      </c>
    </row>
    <row r="19" spans="1:12" x14ac:dyDescent="0.25">
      <c r="A19">
        <v>18</v>
      </c>
      <c r="B19" s="3">
        <v>8</v>
      </c>
      <c r="C19" s="3">
        <v>30</v>
      </c>
      <c r="D19" s="3">
        <v>0</v>
      </c>
      <c r="E19">
        <f t="shared" si="0"/>
        <v>19</v>
      </c>
      <c r="F19" s="1" t="s">
        <v>32</v>
      </c>
      <c r="L19" s="5">
        <v>15</v>
      </c>
    </row>
    <row r="20" spans="1:12" x14ac:dyDescent="0.25">
      <c r="A20">
        <v>19</v>
      </c>
      <c r="B20" s="3">
        <v>25</v>
      </c>
      <c r="C20" s="3">
        <v>100</v>
      </c>
      <c r="D20" s="3">
        <v>0</v>
      </c>
      <c r="E20">
        <f t="shared" si="0"/>
        <v>62.5</v>
      </c>
      <c r="F20" s="1" t="s">
        <v>35</v>
      </c>
      <c r="L20" s="4">
        <v>50</v>
      </c>
    </row>
    <row r="21" spans="1:12" x14ac:dyDescent="0.25">
      <c r="A21">
        <v>20</v>
      </c>
      <c r="B21" s="3">
        <v>50</v>
      </c>
      <c r="C21" s="3">
        <v>250</v>
      </c>
      <c r="D21" s="3">
        <v>0</v>
      </c>
      <c r="E21">
        <f>(B21+C21)/2-75</f>
        <v>75</v>
      </c>
      <c r="F21" s="1" t="s">
        <v>36</v>
      </c>
      <c r="L21" s="5">
        <v>125</v>
      </c>
    </row>
    <row r="22" spans="1:12" x14ac:dyDescent="0.25">
      <c r="A22">
        <v>21</v>
      </c>
      <c r="B22" s="3">
        <v>50</v>
      </c>
      <c r="C22" s="3">
        <v>250</v>
      </c>
      <c r="D22" s="3">
        <v>0</v>
      </c>
      <c r="E22">
        <f>(B22+C22)/2-90</f>
        <v>60</v>
      </c>
      <c r="F22" s="1">
        <v>54</v>
      </c>
      <c r="L22" s="4">
        <v>125</v>
      </c>
    </row>
    <row r="23" spans="1:12" x14ac:dyDescent="0.25">
      <c r="A23">
        <v>22</v>
      </c>
      <c r="B23" s="3">
        <v>25</v>
      </c>
      <c r="C23" s="3">
        <v>100</v>
      </c>
      <c r="D23" s="3">
        <v>0</v>
      </c>
      <c r="E23">
        <f t="shared" si="0"/>
        <v>62.5</v>
      </c>
      <c r="F23" s="1">
        <v>55</v>
      </c>
      <c r="L23" s="5">
        <v>50</v>
      </c>
    </row>
    <row r="24" spans="1:12" x14ac:dyDescent="0.25">
      <c r="A24">
        <v>23</v>
      </c>
      <c r="B24" s="3">
        <v>25</v>
      </c>
      <c r="C24" s="3">
        <v>100</v>
      </c>
      <c r="D24" s="3">
        <v>0</v>
      </c>
      <c r="E24">
        <f t="shared" si="0"/>
        <v>62.5</v>
      </c>
      <c r="F24" s="1">
        <v>56</v>
      </c>
      <c r="L24" s="4">
        <v>50</v>
      </c>
    </row>
    <row r="25" spans="1:12" x14ac:dyDescent="0.25">
      <c r="A25">
        <v>24</v>
      </c>
      <c r="B25" s="3">
        <v>50</v>
      </c>
      <c r="C25" s="3">
        <v>200</v>
      </c>
      <c r="D25" s="3">
        <v>0</v>
      </c>
      <c r="E25">
        <f t="shared" si="0"/>
        <v>125</v>
      </c>
      <c r="F25" s="1">
        <v>59</v>
      </c>
      <c r="L25" s="5">
        <v>100</v>
      </c>
    </row>
    <row r="26" spans="1:12" x14ac:dyDescent="0.25">
      <c r="A26">
        <v>25</v>
      </c>
      <c r="B26" s="3">
        <v>50</v>
      </c>
      <c r="C26" s="3">
        <v>200</v>
      </c>
      <c r="D26" s="3">
        <v>0</v>
      </c>
      <c r="E26">
        <f t="shared" si="0"/>
        <v>125</v>
      </c>
      <c r="F26" s="1">
        <v>61</v>
      </c>
      <c r="L26" s="4">
        <v>100</v>
      </c>
    </row>
    <row r="27" spans="1:12" x14ac:dyDescent="0.25">
      <c r="A27">
        <v>26</v>
      </c>
      <c r="B27" s="3">
        <v>25</v>
      </c>
      <c r="C27" s="3">
        <v>100</v>
      </c>
      <c r="D27" s="3">
        <v>0</v>
      </c>
      <c r="E27">
        <f t="shared" si="0"/>
        <v>62.5</v>
      </c>
      <c r="F27" s="1">
        <v>62</v>
      </c>
      <c r="L27" s="5">
        <v>50</v>
      </c>
    </row>
    <row r="28" spans="1:12" x14ac:dyDescent="0.25">
      <c r="A28">
        <v>27</v>
      </c>
      <c r="B28" s="3">
        <v>100</v>
      </c>
      <c r="C28" s="3">
        <v>420</v>
      </c>
      <c r="D28" s="3">
        <v>25</v>
      </c>
      <c r="E28">
        <f>(B28+C28)/2-150.2</f>
        <v>109.80000000000001</v>
      </c>
      <c r="F28" s="1">
        <v>65</v>
      </c>
      <c r="L28" s="4">
        <v>210</v>
      </c>
    </row>
    <row r="29" spans="1:12" x14ac:dyDescent="0.25">
      <c r="A29">
        <v>28</v>
      </c>
      <c r="B29" s="3">
        <v>100</v>
      </c>
      <c r="C29" s="3">
        <v>420</v>
      </c>
      <c r="D29" s="3">
        <v>25</v>
      </c>
      <c r="E29">
        <f>(B29+C29)/2-100</f>
        <v>160</v>
      </c>
      <c r="F29" s="1">
        <v>66</v>
      </c>
      <c r="L29" s="5">
        <v>210</v>
      </c>
    </row>
    <row r="30" spans="1:12" x14ac:dyDescent="0.25">
      <c r="A30">
        <v>29</v>
      </c>
      <c r="B30" s="3">
        <v>80</v>
      </c>
      <c r="C30" s="3">
        <v>300</v>
      </c>
      <c r="D30" s="3">
        <v>25</v>
      </c>
      <c r="E30">
        <f>(B30+C30)/2-80</f>
        <v>110</v>
      </c>
      <c r="F30" s="1">
        <v>69</v>
      </c>
      <c r="L30" s="4">
        <v>150</v>
      </c>
    </row>
    <row r="31" spans="1:12" x14ac:dyDescent="0.25">
      <c r="A31">
        <v>30</v>
      </c>
      <c r="B31" s="3">
        <v>30</v>
      </c>
      <c r="C31" s="3">
        <v>80</v>
      </c>
      <c r="D31" s="3">
        <v>25</v>
      </c>
      <c r="E31">
        <f t="shared" si="0"/>
        <v>55</v>
      </c>
      <c r="F31" s="1">
        <v>70</v>
      </c>
      <c r="L31" s="5">
        <v>40</v>
      </c>
    </row>
    <row r="32" spans="1:12" x14ac:dyDescent="0.25">
      <c r="A32">
        <v>31</v>
      </c>
      <c r="B32" s="3">
        <v>10</v>
      </c>
      <c r="C32" s="3">
        <v>30</v>
      </c>
      <c r="D32" s="3">
        <v>25</v>
      </c>
      <c r="E32">
        <f t="shared" si="0"/>
        <v>20</v>
      </c>
      <c r="F32" s="1">
        <v>72</v>
      </c>
      <c r="L32" s="4">
        <v>15</v>
      </c>
    </row>
    <row r="33" spans="1:12" x14ac:dyDescent="0.25">
      <c r="A33">
        <v>32</v>
      </c>
      <c r="B33" s="3">
        <v>5</v>
      </c>
      <c r="C33" s="3">
        <v>30</v>
      </c>
      <c r="D33" s="3">
        <v>25</v>
      </c>
      <c r="E33">
        <f t="shared" si="0"/>
        <v>17.5</v>
      </c>
      <c r="F33" s="1">
        <v>73</v>
      </c>
      <c r="L33" s="5">
        <v>15</v>
      </c>
    </row>
    <row r="34" spans="1:12" x14ac:dyDescent="0.25">
      <c r="A34">
        <v>33</v>
      </c>
      <c r="B34" s="3">
        <v>5</v>
      </c>
      <c r="C34" s="3">
        <v>20</v>
      </c>
      <c r="D34" s="3">
        <v>25</v>
      </c>
      <c r="E34">
        <f t="shared" si="0"/>
        <v>12.5</v>
      </c>
      <c r="F34" s="1">
        <v>74</v>
      </c>
      <c r="L34" s="4">
        <v>10</v>
      </c>
    </row>
    <row r="35" spans="1:12" x14ac:dyDescent="0.25">
      <c r="A35">
        <v>34</v>
      </c>
      <c r="B35" s="3">
        <v>25</v>
      </c>
      <c r="C35" s="3">
        <v>100</v>
      </c>
      <c r="D35" s="3">
        <v>25</v>
      </c>
      <c r="E35">
        <f t="shared" si="0"/>
        <v>62.5</v>
      </c>
      <c r="F35" s="1">
        <v>76</v>
      </c>
      <c r="L35" s="5">
        <v>50</v>
      </c>
    </row>
    <row r="36" spans="1:12" x14ac:dyDescent="0.25">
      <c r="A36">
        <v>35</v>
      </c>
      <c r="B36" s="3">
        <v>25</v>
      </c>
      <c r="C36" s="3">
        <v>100</v>
      </c>
      <c r="D36" s="3">
        <v>25</v>
      </c>
      <c r="E36">
        <f t="shared" si="0"/>
        <v>62.5</v>
      </c>
      <c r="F36" s="1">
        <v>77</v>
      </c>
      <c r="L36" s="4">
        <v>50</v>
      </c>
    </row>
    <row r="37" spans="1:12" x14ac:dyDescent="0.25">
      <c r="A37">
        <v>36</v>
      </c>
      <c r="B37" s="3">
        <v>150</v>
      </c>
      <c r="C37" s="3">
        <v>300</v>
      </c>
      <c r="D37" s="3">
        <v>25</v>
      </c>
      <c r="E37">
        <f t="shared" si="0"/>
        <v>225</v>
      </c>
      <c r="F37" s="1">
        <v>80</v>
      </c>
      <c r="L37" s="5">
        <v>150</v>
      </c>
    </row>
    <row r="38" spans="1:12" x14ac:dyDescent="0.25">
      <c r="A38">
        <v>37</v>
      </c>
      <c r="B38" s="3">
        <v>25</v>
      </c>
      <c r="C38" s="3">
        <v>100</v>
      </c>
      <c r="D38" s="3">
        <v>25</v>
      </c>
      <c r="E38">
        <f t="shared" si="0"/>
        <v>62.5</v>
      </c>
      <c r="F38" s="1">
        <v>82</v>
      </c>
      <c r="L38" s="4">
        <v>50</v>
      </c>
    </row>
    <row r="39" spans="1:12" x14ac:dyDescent="0.25">
      <c r="A39">
        <v>38</v>
      </c>
      <c r="B39" s="3">
        <v>10</v>
      </c>
      <c r="C39" s="3">
        <v>30</v>
      </c>
      <c r="D39" s="3">
        <v>25</v>
      </c>
      <c r="E39">
        <f t="shared" si="0"/>
        <v>20</v>
      </c>
      <c r="F39" s="1">
        <v>85</v>
      </c>
      <c r="L39" s="5">
        <v>15</v>
      </c>
    </row>
    <row r="40" spans="1:12" x14ac:dyDescent="0.25">
      <c r="A40">
        <v>39</v>
      </c>
      <c r="B40" s="3">
        <v>100</v>
      </c>
      <c r="C40" s="3">
        <v>300</v>
      </c>
      <c r="D40" s="3">
        <v>25</v>
      </c>
      <c r="E40">
        <f>(B40+C40)/2-90.2</f>
        <v>109.8</v>
      </c>
      <c r="F40" s="1">
        <v>87</v>
      </c>
      <c r="L40" s="4">
        <v>150</v>
      </c>
    </row>
    <row r="41" spans="1:12" x14ac:dyDescent="0.25">
      <c r="A41">
        <v>40</v>
      </c>
      <c r="B41" s="3">
        <v>50</v>
      </c>
      <c r="C41" s="3">
        <v>200</v>
      </c>
      <c r="D41" s="3">
        <v>25</v>
      </c>
      <c r="E41">
        <f>(B41+C41)/2-40</f>
        <v>85</v>
      </c>
      <c r="F41" s="1">
        <v>89</v>
      </c>
      <c r="L41" s="5">
        <v>100</v>
      </c>
    </row>
    <row r="42" spans="1:12" x14ac:dyDescent="0.25">
      <c r="A42">
        <v>41</v>
      </c>
      <c r="B42" s="3">
        <v>8</v>
      </c>
      <c r="C42" s="3">
        <v>20</v>
      </c>
      <c r="D42" s="3">
        <v>25</v>
      </c>
      <c r="E42">
        <f t="shared" si="0"/>
        <v>14</v>
      </c>
      <c r="F42" s="1">
        <v>90</v>
      </c>
      <c r="L42" s="4">
        <v>10</v>
      </c>
    </row>
    <row r="43" spans="1:12" x14ac:dyDescent="0.25">
      <c r="A43">
        <v>42</v>
      </c>
      <c r="B43" s="3">
        <v>20</v>
      </c>
      <c r="C43" s="3">
        <v>50</v>
      </c>
      <c r="D43" s="3">
        <v>25</v>
      </c>
      <c r="E43">
        <f t="shared" si="0"/>
        <v>35</v>
      </c>
      <c r="F43" s="1">
        <v>91</v>
      </c>
      <c r="L43" s="5">
        <v>25</v>
      </c>
    </row>
    <row r="44" spans="1:12" x14ac:dyDescent="0.25">
      <c r="A44">
        <v>43</v>
      </c>
      <c r="B44" s="3">
        <v>100</v>
      </c>
      <c r="C44" s="3">
        <v>300</v>
      </c>
      <c r="D44" s="3">
        <v>25</v>
      </c>
      <c r="E44">
        <f>(B44+C44)/2-50</f>
        <v>150</v>
      </c>
      <c r="F44" s="1">
        <v>92</v>
      </c>
      <c r="L44" s="4">
        <v>150</v>
      </c>
    </row>
    <row r="45" spans="1:12" x14ac:dyDescent="0.25">
      <c r="A45">
        <v>44</v>
      </c>
      <c r="B45" s="3">
        <v>100</v>
      </c>
      <c r="C45" s="3">
        <v>300</v>
      </c>
      <c r="D45" s="3">
        <v>25</v>
      </c>
      <c r="E45">
        <f>(B45+C45)/2-60</f>
        <v>140</v>
      </c>
      <c r="F45" s="1">
        <v>99</v>
      </c>
      <c r="L45" s="5">
        <v>150</v>
      </c>
    </row>
    <row r="46" spans="1:12" x14ac:dyDescent="0.25">
      <c r="A46">
        <v>45</v>
      </c>
      <c r="B46" s="3">
        <v>100</v>
      </c>
      <c r="C46" s="3">
        <v>300</v>
      </c>
      <c r="D46" s="3">
        <v>25</v>
      </c>
      <c r="E46">
        <f>(B46+C46)/2-11.2</f>
        <v>188.8</v>
      </c>
      <c r="F46" s="1">
        <v>100</v>
      </c>
      <c r="L46" s="4">
        <v>150</v>
      </c>
    </row>
    <row r="47" spans="1:12" x14ac:dyDescent="0.25">
      <c r="A47">
        <v>46</v>
      </c>
      <c r="B47" s="3">
        <v>8</v>
      </c>
      <c r="C47" s="3">
        <v>20</v>
      </c>
      <c r="D47" s="3">
        <v>25</v>
      </c>
      <c r="E47">
        <f t="shared" si="0"/>
        <v>14</v>
      </c>
      <c r="F47" s="1">
        <v>103</v>
      </c>
      <c r="L47" s="5">
        <v>10</v>
      </c>
    </row>
    <row r="48" spans="1:12" x14ac:dyDescent="0.25">
      <c r="A48">
        <v>47</v>
      </c>
      <c r="B48" s="3">
        <v>25</v>
      </c>
      <c r="C48" s="3">
        <v>100</v>
      </c>
      <c r="D48" s="3">
        <v>25</v>
      </c>
      <c r="E48">
        <f t="shared" si="0"/>
        <v>62.5</v>
      </c>
      <c r="F48" s="1">
        <v>104</v>
      </c>
      <c r="L48" s="4">
        <v>50</v>
      </c>
    </row>
    <row r="49" spans="1:12" x14ac:dyDescent="0.25">
      <c r="A49">
        <v>48</v>
      </c>
      <c r="B49" s="3">
        <v>25</v>
      </c>
      <c r="C49" s="3">
        <v>100</v>
      </c>
      <c r="D49" s="3">
        <v>25</v>
      </c>
      <c r="E49">
        <f t="shared" si="0"/>
        <v>62.5</v>
      </c>
      <c r="F49" s="1">
        <v>105</v>
      </c>
      <c r="L49" s="5">
        <v>50</v>
      </c>
    </row>
    <row r="50" spans="1:12" x14ac:dyDescent="0.25">
      <c r="A50">
        <v>49</v>
      </c>
      <c r="B50" s="3">
        <v>8</v>
      </c>
      <c r="C50" s="3">
        <v>20</v>
      </c>
      <c r="D50" s="3">
        <v>25</v>
      </c>
      <c r="E50">
        <f t="shared" si="0"/>
        <v>14</v>
      </c>
      <c r="F50" s="1">
        <v>107</v>
      </c>
      <c r="L50" s="4">
        <v>10</v>
      </c>
    </row>
    <row r="51" spans="1:12" x14ac:dyDescent="0.25">
      <c r="A51">
        <v>50</v>
      </c>
      <c r="B51" s="3">
        <v>25</v>
      </c>
      <c r="C51" s="3">
        <v>50</v>
      </c>
      <c r="D51" s="3">
        <v>25</v>
      </c>
      <c r="E51">
        <f t="shared" si="0"/>
        <v>37.5</v>
      </c>
      <c r="F51" s="1">
        <v>110</v>
      </c>
      <c r="L51" s="5">
        <v>25</v>
      </c>
    </row>
    <row r="52" spans="1:12" x14ac:dyDescent="0.25">
      <c r="A52">
        <v>51</v>
      </c>
      <c r="B52" s="3">
        <v>25</v>
      </c>
      <c r="C52" s="3">
        <v>100</v>
      </c>
      <c r="D52" s="3">
        <v>25</v>
      </c>
      <c r="E52">
        <f t="shared" si="0"/>
        <v>62.5</v>
      </c>
      <c r="F52" s="1">
        <v>111</v>
      </c>
      <c r="L52" s="4">
        <v>50</v>
      </c>
    </row>
    <row r="53" spans="1:12" x14ac:dyDescent="0.25">
      <c r="A53">
        <v>52</v>
      </c>
      <c r="B53" s="3">
        <v>25</v>
      </c>
      <c r="C53" s="3">
        <v>100</v>
      </c>
      <c r="D53" s="3">
        <v>25</v>
      </c>
      <c r="E53">
        <f t="shared" si="0"/>
        <v>62.5</v>
      </c>
      <c r="F53" s="1">
        <v>112</v>
      </c>
      <c r="L53" s="5">
        <v>50</v>
      </c>
    </row>
    <row r="54" spans="1:12" x14ac:dyDescent="0.25">
      <c r="A54">
        <v>53</v>
      </c>
      <c r="B54" s="3">
        <v>25</v>
      </c>
      <c r="C54" s="3">
        <v>100</v>
      </c>
      <c r="D54" s="3">
        <v>25</v>
      </c>
      <c r="E54">
        <f t="shared" si="0"/>
        <v>62.5</v>
      </c>
      <c r="F54" s="1">
        <v>113</v>
      </c>
      <c r="L54" s="4">
        <v>50</v>
      </c>
    </row>
    <row r="55" spans="1:12" x14ac:dyDescent="0.25">
      <c r="A55">
        <v>54</v>
      </c>
      <c r="B55" s="3">
        <v>25</v>
      </c>
      <c r="C55" s="3">
        <v>50</v>
      </c>
      <c r="D55" s="3">
        <v>25</v>
      </c>
      <c r="E55">
        <f t="shared" si="0"/>
        <v>37.5</v>
      </c>
      <c r="F55" s="1">
        <v>116</v>
      </c>
      <c r="L55" s="5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A645-A879-4FC3-B553-E7BB3BF1BE27}">
  <dimension ref="A1:D186"/>
  <sheetViews>
    <sheetView workbookViewId="0">
      <selection activeCell="C15" sqref="C15"/>
    </sheetView>
  </sheetViews>
  <sheetFormatPr defaultRowHeight="15" x14ac:dyDescent="0.25"/>
  <cols>
    <col min="1" max="1" width="9" bestFit="1" customWidth="1"/>
    <col min="2" max="2" width="11.42578125" bestFit="1" customWidth="1"/>
    <col min="3" max="3" width="8.5703125" bestFit="1" customWidth="1"/>
    <col min="4" max="4" width="19" bestFit="1" customWidth="1"/>
  </cols>
  <sheetData>
    <row r="1" spans="1:4" ht="37.5" customHeight="1" x14ac:dyDescent="0.25">
      <c r="A1" t="s">
        <v>7</v>
      </c>
      <c r="B1" t="s">
        <v>6</v>
      </c>
      <c r="C1" t="s">
        <v>8</v>
      </c>
      <c r="D1" t="s">
        <v>9</v>
      </c>
    </row>
    <row r="2" spans="1:4" x14ac:dyDescent="0.25">
      <c r="A2">
        <v>2</v>
      </c>
      <c r="B2">
        <v>1</v>
      </c>
      <c r="C2">
        <v>9.9900000000000003E-2</v>
      </c>
      <c r="D2">
        <v>270</v>
      </c>
    </row>
    <row r="3" spans="1:4" x14ac:dyDescent="0.25">
      <c r="A3">
        <v>3</v>
      </c>
      <c r="B3">
        <v>1</v>
      </c>
      <c r="C3">
        <v>4.24E-2</v>
      </c>
      <c r="D3">
        <v>270</v>
      </c>
    </row>
    <row r="4" spans="1:4" x14ac:dyDescent="0.25">
      <c r="A4">
        <v>12</v>
      </c>
      <c r="B4">
        <v>2</v>
      </c>
      <c r="C4">
        <v>6.1600000000000002E-2</v>
      </c>
      <c r="D4">
        <v>270</v>
      </c>
    </row>
    <row r="5" spans="1:4" x14ac:dyDescent="0.25">
      <c r="A5">
        <v>5</v>
      </c>
      <c r="B5">
        <v>3</v>
      </c>
      <c r="C5">
        <v>0.108</v>
      </c>
      <c r="D5">
        <v>270</v>
      </c>
    </row>
    <row r="6" spans="1:4" x14ac:dyDescent="0.25">
      <c r="A6">
        <v>12</v>
      </c>
      <c r="B6">
        <v>3</v>
      </c>
      <c r="C6">
        <v>0.16</v>
      </c>
      <c r="D6">
        <v>270</v>
      </c>
    </row>
    <row r="7" spans="1:4" x14ac:dyDescent="0.25">
      <c r="A7">
        <v>5</v>
      </c>
      <c r="B7">
        <v>4</v>
      </c>
      <c r="C7">
        <v>7.9799999999999992E-3</v>
      </c>
      <c r="D7">
        <v>490</v>
      </c>
    </row>
    <row r="8" spans="1:4" x14ac:dyDescent="0.25">
      <c r="A8">
        <v>11</v>
      </c>
      <c r="B8">
        <v>4</v>
      </c>
      <c r="C8">
        <v>6.88E-2</v>
      </c>
      <c r="D8">
        <v>270</v>
      </c>
    </row>
    <row r="9" spans="1:4" x14ac:dyDescent="0.25">
      <c r="A9">
        <v>6</v>
      </c>
      <c r="B9">
        <v>5</v>
      </c>
      <c r="C9">
        <v>5.3999999999999999E-2</v>
      </c>
      <c r="D9">
        <v>270</v>
      </c>
    </row>
    <row r="10" spans="1:4" x14ac:dyDescent="0.25">
      <c r="A10">
        <v>11</v>
      </c>
      <c r="B10">
        <v>5</v>
      </c>
      <c r="C10">
        <v>6.8199999999999997E-2</v>
      </c>
      <c r="D10">
        <v>270</v>
      </c>
    </row>
    <row r="11" spans="1:4" x14ac:dyDescent="0.25">
      <c r="A11">
        <v>7</v>
      </c>
      <c r="B11">
        <v>6</v>
      </c>
      <c r="C11">
        <v>2.0799999999999999E-2</v>
      </c>
      <c r="D11">
        <v>270</v>
      </c>
    </row>
    <row r="12" spans="1:4" x14ac:dyDescent="0.25">
      <c r="A12">
        <v>12</v>
      </c>
      <c r="B12">
        <v>7</v>
      </c>
      <c r="C12">
        <v>3.4000000000000002E-2</v>
      </c>
      <c r="D12">
        <v>270</v>
      </c>
    </row>
    <row r="13" spans="1:4" x14ac:dyDescent="0.25">
      <c r="A13">
        <v>5</v>
      </c>
      <c r="B13">
        <v>8</v>
      </c>
      <c r="C13">
        <v>2.6700000000000002E-2</v>
      </c>
      <c r="D13">
        <v>930</v>
      </c>
    </row>
    <row r="14" spans="1:4" x14ac:dyDescent="0.25">
      <c r="A14">
        <v>9</v>
      </c>
      <c r="B14">
        <v>8</v>
      </c>
      <c r="C14">
        <v>3.0499999999999999E-2</v>
      </c>
      <c r="D14">
        <v>1150</v>
      </c>
    </row>
    <row r="15" spans="1:4" x14ac:dyDescent="0.25">
      <c r="A15">
        <v>30</v>
      </c>
      <c r="B15">
        <v>8</v>
      </c>
      <c r="C15">
        <v>5.04E-2</v>
      </c>
      <c r="D15">
        <v>270</v>
      </c>
    </row>
    <row r="16" spans="1:4" x14ac:dyDescent="0.25">
      <c r="A16">
        <v>10</v>
      </c>
      <c r="B16">
        <v>9</v>
      </c>
      <c r="C16">
        <v>3.2199999999999999E-2</v>
      </c>
      <c r="D16">
        <v>1150</v>
      </c>
    </row>
    <row r="17" spans="1:4" x14ac:dyDescent="0.25">
      <c r="A17">
        <v>12</v>
      </c>
      <c r="B17">
        <v>11</v>
      </c>
      <c r="C17">
        <v>1.9599999999999999E-2</v>
      </c>
      <c r="D17">
        <v>270</v>
      </c>
    </row>
    <row r="18" spans="1:4" x14ac:dyDescent="0.25">
      <c r="A18">
        <v>13</v>
      </c>
      <c r="B18">
        <v>11</v>
      </c>
      <c r="C18">
        <v>7.3099999999999998E-2</v>
      </c>
      <c r="D18">
        <v>270</v>
      </c>
    </row>
    <row r="19" spans="1:4" x14ac:dyDescent="0.25">
      <c r="A19">
        <v>15</v>
      </c>
      <c r="B19">
        <v>12</v>
      </c>
      <c r="C19">
        <v>7.0699999999999999E-2</v>
      </c>
      <c r="D19">
        <v>270</v>
      </c>
    </row>
    <row r="20" spans="1:4" x14ac:dyDescent="0.25">
      <c r="A20">
        <v>17</v>
      </c>
      <c r="B20">
        <v>12</v>
      </c>
      <c r="C20">
        <v>8.3400000000000002E-2</v>
      </c>
      <c r="D20">
        <v>270</v>
      </c>
    </row>
    <row r="21" spans="1:4" x14ac:dyDescent="0.25">
      <c r="A21">
        <v>117</v>
      </c>
      <c r="B21">
        <v>12</v>
      </c>
      <c r="C21">
        <v>0.14000000000000001</v>
      </c>
      <c r="D21">
        <v>270</v>
      </c>
    </row>
    <row r="22" spans="1:4" x14ac:dyDescent="0.25">
      <c r="A22">
        <v>15</v>
      </c>
      <c r="B22">
        <v>13</v>
      </c>
      <c r="C22">
        <v>0.24440000000000001</v>
      </c>
      <c r="D22">
        <v>270</v>
      </c>
    </row>
    <row r="23" spans="1:4" x14ac:dyDescent="0.25">
      <c r="A23">
        <v>15</v>
      </c>
      <c r="B23">
        <v>14</v>
      </c>
      <c r="C23">
        <v>0.19500000000000001</v>
      </c>
      <c r="D23">
        <v>270</v>
      </c>
    </row>
    <row r="24" spans="1:4" x14ac:dyDescent="0.25">
      <c r="A24">
        <v>17</v>
      </c>
      <c r="B24">
        <v>15</v>
      </c>
      <c r="C24">
        <v>4.3700000000000003E-2</v>
      </c>
      <c r="D24">
        <v>490</v>
      </c>
    </row>
    <row r="25" spans="1:4" x14ac:dyDescent="0.25">
      <c r="A25">
        <v>19</v>
      </c>
      <c r="B25">
        <v>15</v>
      </c>
      <c r="C25">
        <v>3.9399999999999998E-2</v>
      </c>
      <c r="D25">
        <v>270</v>
      </c>
    </row>
    <row r="26" spans="1:4" x14ac:dyDescent="0.25">
      <c r="A26">
        <v>33</v>
      </c>
      <c r="B26">
        <v>15</v>
      </c>
      <c r="C26">
        <v>0.1244</v>
      </c>
      <c r="D26">
        <v>270</v>
      </c>
    </row>
    <row r="27" spans="1:4" x14ac:dyDescent="0.25">
      <c r="A27">
        <v>17</v>
      </c>
      <c r="B27">
        <v>16</v>
      </c>
      <c r="C27">
        <v>0.18010000000000001</v>
      </c>
      <c r="D27">
        <v>270</v>
      </c>
    </row>
    <row r="28" spans="1:4" x14ac:dyDescent="0.25">
      <c r="A28">
        <v>19</v>
      </c>
      <c r="B28">
        <v>17</v>
      </c>
      <c r="C28">
        <v>5.0500000000000003E-2</v>
      </c>
      <c r="D28">
        <v>270</v>
      </c>
    </row>
    <row r="29" spans="1:4" x14ac:dyDescent="0.25">
      <c r="A29">
        <v>31</v>
      </c>
      <c r="B29">
        <v>17</v>
      </c>
      <c r="C29">
        <v>0.15629999999999999</v>
      </c>
      <c r="D29">
        <v>270</v>
      </c>
    </row>
    <row r="30" spans="1:4" x14ac:dyDescent="0.25">
      <c r="A30">
        <v>113</v>
      </c>
      <c r="B30">
        <v>17</v>
      </c>
      <c r="C30">
        <v>3.0099999999999998E-2</v>
      </c>
      <c r="D30">
        <v>270</v>
      </c>
    </row>
    <row r="31" spans="1:4" x14ac:dyDescent="0.25">
      <c r="A31">
        <v>19</v>
      </c>
      <c r="B31">
        <v>18</v>
      </c>
      <c r="C31">
        <v>4.9299999999999997E-2</v>
      </c>
      <c r="D31">
        <v>270</v>
      </c>
    </row>
    <row r="32" spans="1:4" x14ac:dyDescent="0.25">
      <c r="A32">
        <v>20</v>
      </c>
      <c r="B32">
        <v>19</v>
      </c>
      <c r="C32">
        <v>0.11700000000000001</v>
      </c>
      <c r="D32">
        <v>270</v>
      </c>
    </row>
    <row r="33" spans="1:4" x14ac:dyDescent="0.25">
      <c r="A33">
        <v>34</v>
      </c>
      <c r="B33">
        <v>19</v>
      </c>
      <c r="C33">
        <v>0.247</v>
      </c>
      <c r="D33">
        <v>270</v>
      </c>
    </row>
    <row r="34" spans="1:4" x14ac:dyDescent="0.25">
      <c r="A34">
        <v>21</v>
      </c>
      <c r="B34">
        <v>20</v>
      </c>
      <c r="C34">
        <v>8.4900000000000003E-2</v>
      </c>
      <c r="D34">
        <v>270</v>
      </c>
    </row>
    <row r="35" spans="1:4" x14ac:dyDescent="0.25">
      <c r="A35">
        <v>22</v>
      </c>
      <c r="B35">
        <v>21</v>
      </c>
      <c r="C35">
        <v>9.7000000000000003E-2</v>
      </c>
      <c r="D35">
        <v>270</v>
      </c>
    </row>
    <row r="36" spans="1:4" x14ac:dyDescent="0.25">
      <c r="A36">
        <v>23</v>
      </c>
      <c r="B36">
        <v>22</v>
      </c>
      <c r="C36">
        <v>0.159</v>
      </c>
      <c r="D36">
        <v>270</v>
      </c>
    </row>
    <row r="37" spans="1:4" x14ac:dyDescent="0.25">
      <c r="A37">
        <v>24</v>
      </c>
      <c r="B37">
        <v>23</v>
      </c>
      <c r="C37">
        <v>4.9200000000000001E-2</v>
      </c>
      <c r="D37">
        <v>270</v>
      </c>
    </row>
    <row r="38" spans="1:4" x14ac:dyDescent="0.25">
      <c r="A38">
        <v>25</v>
      </c>
      <c r="B38">
        <v>23</v>
      </c>
      <c r="C38">
        <v>0.08</v>
      </c>
      <c r="D38">
        <v>490</v>
      </c>
    </row>
    <row r="39" spans="1:4" x14ac:dyDescent="0.25">
      <c r="A39">
        <v>32</v>
      </c>
      <c r="B39">
        <v>23</v>
      </c>
      <c r="C39">
        <v>0.1153</v>
      </c>
      <c r="D39">
        <v>270</v>
      </c>
    </row>
    <row r="40" spans="1:4" x14ac:dyDescent="0.25">
      <c r="A40">
        <v>70</v>
      </c>
      <c r="B40">
        <v>24</v>
      </c>
      <c r="C40">
        <v>0.41149999999999998</v>
      </c>
      <c r="D40">
        <v>270</v>
      </c>
    </row>
    <row r="41" spans="1:4" x14ac:dyDescent="0.25">
      <c r="A41">
        <v>72</v>
      </c>
      <c r="B41">
        <v>24</v>
      </c>
      <c r="C41">
        <v>0.19600000000000001</v>
      </c>
      <c r="D41">
        <v>270</v>
      </c>
    </row>
    <row r="42" spans="1:4" x14ac:dyDescent="0.25">
      <c r="A42">
        <v>27</v>
      </c>
      <c r="B42">
        <v>25</v>
      </c>
      <c r="C42">
        <v>0.16300000000000001</v>
      </c>
      <c r="D42">
        <v>490</v>
      </c>
    </row>
    <row r="43" spans="1:4" x14ac:dyDescent="0.25">
      <c r="A43">
        <v>25</v>
      </c>
      <c r="B43">
        <v>26</v>
      </c>
      <c r="C43">
        <v>3.8199999999999998E-2</v>
      </c>
      <c r="D43">
        <v>370</v>
      </c>
    </row>
    <row r="44" spans="1:4" x14ac:dyDescent="0.25">
      <c r="A44">
        <v>30</v>
      </c>
      <c r="B44">
        <v>26</v>
      </c>
      <c r="C44">
        <v>8.5999999999999993E-2</v>
      </c>
      <c r="D44">
        <v>710</v>
      </c>
    </row>
    <row r="45" spans="1:4" x14ac:dyDescent="0.25">
      <c r="A45">
        <v>28</v>
      </c>
      <c r="B45">
        <v>27</v>
      </c>
      <c r="C45">
        <v>8.5500000000000007E-2</v>
      </c>
      <c r="D45">
        <v>270</v>
      </c>
    </row>
    <row r="46" spans="1:4" x14ac:dyDescent="0.25">
      <c r="A46">
        <v>32</v>
      </c>
      <c r="B46">
        <v>27</v>
      </c>
      <c r="C46">
        <v>7.5499999999999998E-2</v>
      </c>
      <c r="D46">
        <v>270</v>
      </c>
    </row>
    <row r="47" spans="1:4" x14ac:dyDescent="0.25">
      <c r="A47">
        <v>115</v>
      </c>
      <c r="B47">
        <v>27</v>
      </c>
      <c r="C47">
        <v>7.4099999999999999E-2</v>
      </c>
      <c r="D47">
        <v>270</v>
      </c>
    </row>
    <row r="48" spans="1:4" x14ac:dyDescent="0.25">
      <c r="A48">
        <v>31</v>
      </c>
      <c r="B48">
        <v>28</v>
      </c>
      <c r="C48">
        <v>9.4299999999999995E-2</v>
      </c>
      <c r="D48">
        <v>270</v>
      </c>
    </row>
    <row r="49" spans="1:4" x14ac:dyDescent="0.25">
      <c r="A49">
        <v>31</v>
      </c>
      <c r="B49">
        <v>29</v>
      </c>
      <c r="C49">
        <v>3.3099999999999997E-2</v>
      </c>
      <c r="D49">
        <v>270</v>
      </c>
    </row>
    <row r="50" spans="1:4" x14ac:dyDescent="0.25">
      <c r="A50">
        <v>17</v>
      </c>
      <c r="B50">
        <v>30</v>
      </c>
      <c r="C50">
        <v>3.8800000000000001E-2</v>
      </c>
      <c r="D50">
        <v>710</v>
      </c>
    </row>
    <row r="51" spans="1:4" x14ac:dyDescent="0.25">
      <c r="A51">
        <v>38</v>
      </c>
      <c r="B51">
        <v>30</v>
      </c>
      <c r="C51">
        <v>5.3999999999999999E-2</v>
      </c>
      <c r="D51">
        <v>270</v>
      </c>
    </row>
    <row r="52" spans="1:4" x14ac:dyDescent="0.25">
      <c r="A52">
        <v>32</v>
      </c>
      <c r="B52">
        <v>31</v>
      </c>
      <c r="C52">
        <v>9.8500000000000004E-2</v>
      </c>
      <c r="D52">
        <v>270</v>
      </c>
    </row>
    <row r="53" spans="1:4" x14ac:dyDescent="0.25">
      <c r="A53">
        <v>113</v>
      </c>
      <c r="B53">
        <v>32</v>
      </c>
      <c r="C53">
        <v>0.20300000000000001</v>
      </c>
      <c r="D53">
        <v>270</v>
      </c>
    </row>
    <row r="54" spans="1:4" x14ac:dyDescent="0.25">
      <c r="A54">
        <v>114</v>
      </c>
      <c r="B54">
        <v>32</v>
      </c>
      <c r="C54">
        <v>6.1199999999999997E-2</v>
      </c>
      <c r="D54">
        <v>270</v>
      </c>
    </row>
    <row r="55" spans="1:4" x14ac:dyDescent="0.25">
      <c r="A55">
        <v>37</v>
      </c>
      <c r="B55">
        <v>33</v>
      </c>
      <c r="C55">
        <v>0.14199999999999999</v>
      </c>
      <c r="D55">
        <v>270</v>
      </c>
    </row>
    <row r="56" spans="1:4" x14ac:dyDescent="0.25">
      <c r="A56">
        <v>36</v>
      </c>
      <c r="B56">
        <v>34</v>
      </c>
      <c r="C56">
        <v>2.6800000000000001E-2</v>
      </c>
      <c r="D56">
        <v>270</v>
      </c>
    </row>
    <row r="57" spans="1:4" x14ac:dyDescent="0.25">
      <c r="A57">
        <v>37</v>
      </c>
      <c r="B57">
        <v>34</v>
      </c>
      <c r="C57">
        <v>9.4000000000000004E-3</v>
      </c>
      <c r="D57">
        <v>490</v>
      </c>
    </row>
    <row r="58" spans="1:4" x14ac:dyDescent="0.25">
      <c r="A58">
        <v>43</v>
      </c>
      <c r="B58">
        <v>34</v>
      </c>
      <c r="C58">
        <v>0.1681</v>
      </c>
      <c r="D58">
        <v>270</v>
      </c>
    </row>
    <row r="59" spans="1:4" x14ac:dyDescent="0.25">
      <c r="A59">
        <v>36</v>
      </c>
      <c r="B59">
        <v>35</v>
      </c>
      <c r="C59">
        <v>1.0200000000000001E-2</v>
      </c>
      <c r="D59">
        <v>270</v>
      </c>
    </row>
    <row r="60" spans="1:4" x14ac:dyDescent="0.25">
      <c r="A60">
        <v>37</v>
      </c>
      <c r="B60">
        <v>35</v>
      </c>
      <c r="C60">
        <v>4.9700000000000001E-2</v>
      </c>
      <c r="D60">
        <v>270</v>
      </c>
    </row>
    <row r="61" spans="1:4" x14ac:dyDescent="0.25">
      <c r="A61">
        <v>39</v>
      </c>
      <c r="B61">
        <v>37</v>
      </c>
      <c r="C61">
        <v>0.106</v>
      </c>
      <c r="D61">
        <v>270</v>
      </c>
    </row>
    <row r="62" spans="1:4" x14ac:dyDescent="0.25">
      <c r="A62">
        <v>40</v>
      </c>
      <c r="B62">
        <v>37</v>
      </c>
      <c r="C62">
        <v>0.16800000000000001</v>
      </c>
      <c r="D62">
        <v>270</v>
      </c>
    </row>
    <row r="63" spans="1:4" x14ac:dyDescent="0.25">
      <c r="A63">
        <v>37</v>
      </c>
      <c r="B63">
        <v>38</v>
      </c>
      <c r="C63">
        <v>3.7499999999999999E-2</v>
      </c>
      <c r="D63">
        <v>710</v>
      </c>
    </row>
    <row r="64" spans="1:4" x14ac:dyDescent="0.25">
      <c r="A64">
        <v>65</v>
      </c>
      <c r="B64">
        <v>38</v>
      </c>
      <c r="C64">
        <v>9.8599999999999993E-2</v>
      </c>
      <c r="D64">
        <v>490</v>
      </c>
    </row>
    <row r="65" spans="1:4" x14ac:dyDescent="0.25">
      <c r="A65">
        <v>40</v>
      </c>
      <c r="B65">
        <v>39</v>
      </c>
      <c r="C65">
        <v>6.0499999999999998E-2</v>
      </c>
      <c r="D65">
        <v>270</v>
      </c>
    </row>
    <row r="66" spans="1:4" x14ac:dyDescent="0.25">
      <c r="A66">
        <v>41</v>
      </c>
      <c r="B66">
        <v>40</v>
      </c>
      <c r="C66">
        <v>4.87E-2</v>
      </c>
      <c r="D66">
        <v>270</v>
      </c>
    </row>
    <row r="67" spans="1:4" x14ac:dyDescent="0.25">
      <c r="A67">
        <v>42</v>
      </c>
      <c r="B67">
        <v>40</v>
      </c>
      <c r="C67">
        <v>0.183</v>
      </c>
      <c r="D67">
        <v>270</v>
      </c>
    </row>
    <row r="68" spans="1:4" x14ac:dyDescent="0.25">
      <c r="A68">
        <v>42</v>
      </c>
      <c r="B68">
        <v>41</v>
      </c>
      <c r="C68">
        <v>0.13500000000000001</v>
      </c>
      <c r="D68">
        <v>270</v>
      </c>
    </row>
    <row r="69" spans="1:4" x14ac:dyDescent="0.25">
      <c r="A69">
        <v>49</v>
      </c>
      <c r="B69">
        <v>42</v>
      </c>
      <c r="C69">
        <v>0.32300000000000001</v>
      </c>
      <c r="D69">
        <v>270</v>
      </c>
    </row>
    <row r="70" spans="1:4" x14ac:dyDescent="0.25">
      <c r="A70">
        <v>49</v>
      </c>
      <c r="B70">
        <v>42</v>
      </c>
      <c r="C70">
        <v>0.32300000000000001</v>
      </c>
      <c r="D70">
        <v>270</v>
      </c>
    </row>
    <row r="71" spans="1:4" x14ac:dyDescent="0.25">
      <c r="A71">
        <v>44</v>
      </c>
      <c r="B71">
        <v>43</v>
      </c>
      <c r="C71">
        <v>0.24540000000000001</v>
      </c>
      <c r="D71">
        <v>270</v>
      </c>
    </row>
    <row r="72" spans="1:4" x14ac:dyDescent="0.25">
      <c r="A72">
        <v>45</v>
      </c>
      <c r="B72">
        <v>44</v>
      </c>
      <c r="C72">
        <v>9.01E-2</v>
      </c>
      <c r="D72">
        <v>270</v>
      </c>
    </row>
    <row r="73" spans="1:4" x14ac:dyDescent="0.25">
      <c r="A73">
        <v>46</v>
      </c>
      <c r="B73">
        <v>45</v>
      </c>
      <c r="C73">
        <v>0.1356</v>
      </c>
      <c r="D73">
        <v>270</v>
      </c>
    </row>
    <row r="74" spans="1:4" x14ac:dyDescent="0.25">
      <c r="A74">
        <v>49</v>
      </c>
      <c r="B74">
        <v>45</v>
      </c>
      <c r="C74">
        <v>0.186</v>
      </c>
      <c r="D74">
        <v>270</v>
      </c>
    </row>
    <row r="75" spans="1:4" x14ac:dyDescent="0.25">
      <c r="A75">
        <v>47</v>
      </c>
      <c r="B75">
        <v>46</v>
      </c>
      <c r="C75">
        <v>0.127</v>
      </c>
      <c r="D75">
        <v>270</v>
      </c>
    </row>
    <row r="76" spans="1:4" x14ac:dyDescent="0.25">
      <c r="A76">
        <v>48</v>
      </c>
      <c r="B76">
        <v>46</v>
      </c>
      <c r="C76">
        <v>0.189</v>
      </c>
      <c r="D76">
        <v>270</v>
      </c>
    </row>
    <row r="77" spans="1:4" x14ac:dyDescent="0.25">
      <c r="A77">
        <v>49</v>
      </c>
      <c r="B77">
        <v>47</v>
      </c>
      <c r="C77">
        <v>6.25E-2</v>
      </c>
      <c r="D77">
        <v>270</v>
      </c>
    </row>
    <row r="78" spans="1:4" x14ac:dyDescent="0.25">
      <c r="A78">
        <v>69</v>
      </c>
      <c r="B78">
        <v>47</v>
      </c>
      <c r="C78">
        <v>0.27779999999999999</v>
      </c>
      <c r="D78">
        <v>270</v>
      </c>
    </row>
    <row r="79" spans="1:4" x14ac:dyDescent="0.25">
      <c r="A79">
        <v>49</v>
      </c>
      <c r="B79">
        <v>48</v>
      </c>
      <c r="C79">
        <v>5.0500000000000003E-2</v>
      </c>
      <c r="D79">
        <v>270</v>
      </c>
    </row>
    <row r="80" spans="1:4" x14ac:dyDescent="0.25">
      <c r="A80">
        <v>50</v>
      </c>
      <c r="B80">
        <v>49</v>
      </c>
      <c r="C80">
        <v>7.5200000000000003E-2</v>
      </c>
      <c r="D80">
        <v>270</v>
      </c>
    </row>
    <row r="81" spans="1:4" x14ac:dyDescent="0.25">
      <c r="A81">
        <v>51</v>
      </c>
      <c r="B81">
        <v>49</v>
      </c>
      <c r="C81">
        <v>0.13700000000000001</v>
      </c>
      <c r="D81">
        <v>270</v>
      </c>
    </row>
    <row r="82" spans="1:4" x14ac:dyDescent="0.25">
      <c r="A82">
        <v>54</v>
      </c>
      <c r="B82">
        <v>49</v>
      </c>
      <c r="C82">
        <v>0.28899999999999998</v>
      </c>
      <c r="D82">
        <v>270</v>
      </c>
    </row>
    <row r="83" spans="1:4" x14ac:dyDescent="0.25">
      <c r="A83">
        <v>54</v>
      </c>
      <c r="B83">
        <v>49</v>
      </c>
      <c r="C83">
        <v>0.29099999999999998</v>
      </c>
      <c r="D83">
        <v>270</v>
      </c>
    </row>
    <row r="84" spans="1:4" x14ac:dyDescent="0.25">
      <c r="A84">
        <v>66</v>
      </c>
      <c r="B84">
        <v>49</v>
      </c>
      <c r="C84">
        <v>9.1899999999999996E-2</v>
      </c>
      <c r="D84">
        <v>490</v>
      </c>
    </row>
    <row r="85" spans="1:4" x14ac:dyDescent="0.25">
      <c r="A85">
        <v>66</v>
      </c>
      <c r="B85">
        <v>49</v>
      </c>
      <c r="C85">
        <v>9.1899999999999996E-2</v>
      </c>
      <c r="D85">
        <v>490</v>
      </c>
    </row>
    <row r="86" spans="1:4" x14ac:dyDescent="0.25">
      <c r="A86">
        <v>69</v>
      </c>
      <c r="B86">
        <v>49</v>
      </c>
      <c r="C86">
        <v>0.32400000000000001</v>
      </c>
      <c r="D86">
        <v>270</v>
      </c>
    </row>
    <row r="87" spans="1:4" x14ac:dyDescent="0.25">
      <c r="A87">
        <v>57</v>
      </c>
      <c r="B87">
        <v>50</v>
      </c>
      <c r="C87">
        <v>0.13400000000000001</v>
      </c>
      <c r="D87">
        <v>270</v>
      </c>
    </row>
    <row r="88" spans="1:4" x14ac:dyDescent="0.25">
      <c r="A88">
        <v>52</v>
      </c>
      <c r="B88">
        <v>51</v>
      </c>
      <c r="C88">
        <v>5.8799999999999998E-2</v>
      </c>
      <c r="D88">
        <v>270</v>
      </c>
    </row>
    <row r="89" spans="1:4" x14ac:dyDescent="0.25">
      <c r="A89">
        <v>58</v>
      </c>
      <c r="B89">
        <v>51</v>
      </c>
      <c r="C89">
        <v>7.1900000000000006E-2</v>
      </c>
      <c r="D89">
        <v>270</v>
      </c>
    </row>
    <row r="90" spans="1:4" x14ac:dyDescent="0.25">
      <c r="A90">
        <v>53</v>
      </c>
      <c r="B90">
        <v>52</v>
      </c>
      <c r="C90">
        <v>0.16350000000000001</v>
      </c>
      <c r="D90">
        <v>270</v>
      </c>
    </row>
    <row r="91" spans="1:4" x14ac:dyDescent="0.25">
      <c r="A91">
        <v>54</v>
      </c>
      <c r="B91">
        <v>53</v>
      </c>
      <c r="C91">
        <v>0.122</v>
      </c>
      <c r="D91">
        <v>270</v>
      </c>
    </row>
    <row r="92" spans="1:4" x14ac:dyDescent="0.25">
      <c r="A92">
        <v>55</v>
      </c>
      <c r="B92">
        <v>54</v>
      </c>
      <c r="C92">
        <v>7.0699999999999999E-2</v>
      </c>
      <c r="D92">
        <v>270</v>
      </c>
    </row>
    <row r="93" spans="1:4" x14ac:dyDescent="0.25">
      <c r="A93">
        <v>56</v>
      </c>
      <c r="B93">
        <v>54</v>
      </c>
      <c r="C93">
        <v>9.5499999999999995E-3</v>
      </c>
      <c r="D93">
        <v>270</v>
      </c>
    </row>
    <row r="94" spans="1:4" x14ac:dyDescent="0.25">
      <c r="A94">
        <v>59</v>
      </c>
      <c r="B94">
        <v>54</v>
      </c>
      <c r="C94">
        <v>0.2293</v>
      </c>
      <c r="D94">
        <v>270</v>
      </c>
    </row>
    <row r="95" spans="1:4" x14ac:dyDescent="0.25">
      <c r="A95">
        <v>56</v>
      </c>
      <c r="B95">
        <v>55</v>
      </c>
      <c r="C95">
        <v>1.5100000000000001E-2</v>
      </c>
      <c r="D95">
        <v>270</v>
      </c>
    </row>
    <row r="96" spans="1:4" x14ac:dyDescent="0.25">
      <c r="A96">
        <v>59</v>
      </c>
      <c r="B96">
        <v>55</v>
      </c>
      <c r="C96">
        <v>0.21579999999999999</v>
      </c>
      <c r="D96">
        <v>270</v>
      </c>
    </row>
    <row r="97" spans="1:4" x14ac:dyDescent="0.25">
      <c r="A97">
        <v>57</v>
      </c>
      <c r="B97">
        <v>56</v>
      </c>
      <c r="C97">
        <v>9.6600000000000005E-2</v>
      </c>
      <c r="D97">
        <v>270</v>
      </c>
    </row>
    <row r="98" spans="1:4" x14ac:dyDescent="0.25">
      <c r="A98">
        <v>58</v>
      </c>
      <c r="B98">
        <v>56</v>
      </c>
      <c r="C98">
        <v>9.6600000000000005E-2</v>
      </c>
      <c r="D98">
        <v>270</v>
      </c>
    </row>
    <row r="99" spans="1:4" x14ac:dyDescent="0.25">
      <c r="A99">
        <v>59</v>
      </c>
      <c r="B99">
        <v>56</v>
      </c>
      <c r="C99">
        <v>0.251</v>
      </c>
      <c r="D99">
        <v>270</v>
      </c>
    </row>
    <row r="100" spans="1:4" x14ac:dyDescent="0.25">
      <c r="A100">
        <v>59</v>
      </c>
      <c r="B100">
        <v>56</v>
      </c>
      <c r="C100">
        <v>0.23899999999999999</v>
      </c>
      <c r="D100">
        <v>270</v>
      </c>
    </row>
    <row r="101" spans="1:4" x14ac:dyDescent="0.25">
      <c r="A101">
        <v>60</v>
      </c>
      <c r="B101">
        <v>59</v>
      </c>
      <c r="C101">
        <v>0.14499999999999999</v>
      </c>
      <c r="D101">
        <v>270</v>
      </c>
    </row>
    <row r="102" spans="1:4" x14ac:dyDescent="0.25">
      <c r="A102">
        <v>61</v>
      </c>
      <c r="B102">
        <v>59</v>
      </c>
      <c r="C102">
        <v>0.15</v>
      </c>
      <c r="D102">
        <v>270</v>
      </c>
    </row>
    <row r="103" spans="1:4" x14ac:dyDescent="0.25">
      <c r="A103">
        <v>61</v>
      </c>
      <c r="B103">
        <v>60</v>
      </c>
      <c r="C103">
        <v>1.35E-2</v>
      </c>
      <c r="D103">
        <v>490</v>
      </c>
    </row>
    <row r="104" spans="1:4" x14ac:dyDescent="0.25">
      <c r="A104">
        <v>62</v>
      </c>
      <c r="B104">
        <v>60</v>
      </c>
      <c r="C104">
        <v>5.6099999999999997E-2</v>
      </c>
      <c r="D104">
        <v>270</v>
      </c>
    </row>
    <row r="105" spans="1:4" x14ac:dyDescent="0.25">
      <c r="A105">
        <v>62</v>
      </c>
      <c r="B105">
        <v>61</v>
      </c>
      <c r="C105">
        <v>3.7600000000000001E-2</v>
      </c>
      <c r="D105">
        <v>270</v>
      </c>
    </row>
    <row r="106" spans="1:4" x14ac:dyDescent="0.25">
      <c r="A106">
        <v>66</v>
      </c>
      <c r="B106">
        <v>62</v>
      </c>
      <c r="C106">
        <v>0.218</v>
      </c>
      <c r="D106">
        <v>270</v>
      </c>
    </row>
    <row r="107" spans="1:4" x14ac:dyDescent="0.25">
      <c r="A107">
        <v>67</v>
      </c>
      <c r="B107">
        <v>62</v>
      </c>
      <c r="C107">
        <v>0.11700000000000001</v>
      </c>
      <c r="D107">
        <v>270</v>
      </c>
    </row>
    <row r="108" spans="1:4" x14ac:dyDescent="0.25">
      <c r="A108">
        <v>59</v>
      </c>
      <c r="B108">
        <v>63</v>
      </c>
      <c r="C108">
        <v>3.8600000000000002E-2</v>
      </c>
      <c r="D108">
        <v>490</v>
      </c>
    </row>
    <row r="109" spans="1:4" x14ac:dyDescent="0.25">
      <c r="A109">
        <v>64</v>
      </c>
      <c r="B109">
        <v>63</v>
      </c>
      <c r="C109">
        <v>0.02</v>
      </c>
      <c r="D109">
        <v>490</v>
      </c>
    </row>
    <row r="110" spans="1:4" x14ac:dyDescent="0.25">
      <c r="A110">
        <v>61</v>
      </c>
      <c r="B110">
        <v>64</v>
      </c>
      <c r="C110">
        <v>2.6800000000000001E-2</v>
      </c>
      <c r="D110">
        <v>270</v>
      </c>
    </row>
    <row r="111" spans="1:4" x14ac:dyDescent="0.25">
      <c r="A111">
        <v>65</v>
      </c>
      <c r="B111">
        <v>64</v>
      </c>
      <c r="C111">
        <v>3.0200000000000001E-2</v>
      </c>
      <c r="D111">
        <v>490</v>
      </c>
    </row>
    <row r="112" spans="1:4" x14ac:dyDescent="0.25">
      <c r="A112">
        <v>66</v>
      </c>
      <c r="B112">
        <v>65</v>
      </c>
      <c r="C112">
        <v>3.6999999999999998E-2</v>
      </c>
      <c r="D112">
        <v>270</v>
      </c>
    </row>
    <row r="113" spans="1:4" x14ac:dyDescent="0.25">
      <c r="A113">
        <v>68</v>
      </c>
      <c r="B113">
        <v>65</v>
      </c>
      <c r="C113">
        <v>1.6E-2</v>
      </c>
      <c r="D113">
        <v>270</v>
      </c>
    </row>
    <row r="114" spans="1:4" x14ac:dyDescent="0.25">
      <c r="A114">
        <v>67</v>
      </c>
      <c r="B114">
        <v>66</v>
      </c>
      <c r="C114">
        <v>0.10150000000000001</v>
      </c>
      <c r="D114">
        <v>270</v>
      </c>
    </row>
    <row r="115" spans="1:4" x14ac:dyDescent="0.25">
      <c r="A115">
        <v>69</v>
      </c>
      <c r="B115">
        <v>68</v>
      </c>
      <c r="C115">
        <v>3.6999999999999998E-2</v>
      </c>
      <c r="D115">
        <v>490</v>
      </c>
    </row>
    <row r="116" spans="1:4" x14ac:dyDescent="0.25">
      <c r="A116">
        <v>81</v>
      </c>
      <c r="B116">
        <v>68</v>
      </c>
      <c r="C116">
        <v>2.0199999999999999E-2</v>
      </c>
      <c r="D116">
        <v>270</v>
      </c>
    </row>
    <row r="117" spans="1:4" x14ac:dyDescent="0.25">
      <c r="A117">
        <v>116</v>
      </c>
      <c r="B117">
        <v>68</v>
      </c>
      <c r="C117">
        <v>4.0499999999999998E-3</v>
      </c>
      <c r="D117">
        <v>490</v>
      </c>
    </row>
    <row r="118" spans="1:4" x14ac:dyDescent="0.25">
      <c r="A118">
        <v>70</v>
      </c>
      <c r="B118">
        <v>69</v>
      </c>
      <c r="C118">
        <v>0.127</v>
      </c>
      <c r="D118">
        <v>490</v>
      </c>
    </row>
    <row r="119" spans="1:4" x14ac:dyDescent="0.25">
      <c r="A119">
        <v>75</v>
      </c>
      <c r="B119">
        <v>69</v>
      </c>
      <c r="C119">
        <v>0.122</v>
      </c>
      <c r="D119">
        <v>490</v>
      </c>
    </row>
    <row r="120" spans="1:4" x14ac:dyDescent="0.25">
      <c r="A120">
        <v>77</v>
      </c>
      <c r="B120">
        <v>69</v>
      </c>
      <c r="C120">
        <v>0.10100000000000001</v>
      </c>
      <c r="D120">
        <v>270</v>
      </c>
    </row>
    <row r="121" spans="1:4" x14ac:dyDescent="0.25">
      <c r="A121">
        <v>71</v>
      </c>
      <c r="B121">
        <v>70</v>
      </c>
      <c r="C121">
        <v>3.5499999999999997E-2</v>
      </c>
      <c r="D121">
        <v>270</v>
      </c>
    </row>
    <row r="122" spans="1:4" x14ac:dyDescent="0.25">
      <c r="A122">
        <v>74</v>
      </c>
      <c r="B122">
        <v>70</v>
      </c>
      <c r="C122">
        <v>0.1323</v>
      </c>
      <c r="D122">
        <v>270</v>
      </c>
    </row>
    <row r="123" spans="1:4" x14ac:dyDescent="0.25">
      <c r="A123">
        <v>75</v>
      </c>
      <c r="B123">
        <v>70</v>
      </c>
      <c r="C123">
        <v>0.14099999999999999</v>
      </c>
      <c r="D123">
        <v>270</v>
      </c>
    </row>
    <row r="124" spans="1:4" x14ac:dyDescent="0.25">
      <c r="A124">
        <v>72</v>
      </c>
      <c r="B124">
        <v>71</v>
      </c>
      <c r="C124">
        <v>0.18</v>
      </c>
      <c r="D124">
        <v>270</v>
      </c>
    </row>
    <row r="125" spans="1:4" x14ac:dyDescent="0.25">
      <c r="A125">
        <v>73</v>
      </c>
      <c r="B125">
        <v>71</v>
      </c>
      <c r="C125">
        <v>4.5400000000000003E-2</v>
      </c>
      <c r="D125">
        <v>270</v>
      </c>
    </row>
    <row r="126" spans="1:4" x14ac:dyDescent="0.25">
      <c r="A126">
        <v>75</v>
      </c>
      <c r="B126">
        <v>74</v>
      </c>
      <c r="C126">
        <v>4.0599999999999997E-2</v>
      </c>
      <c r="D126">
        <v>270</v>
      </c>
    </row>
    <row r="127" spans="1:4" x14ac:dyDescent="0.25">
      <c r="A127">
        <v>77</v>
      </c>
      <c r="B127">
        <v>75</v>
      </c>
      <c r="C127">
        <v>0.19989999999999999</v>
      </c>
      <c r="D127">
        <v>270</v>
      </c>
    </row>
    <row r="128" spans="1:4" x14ac:dyDescent="0.25">
      <c r="A128">
        <v>118</v>
      </c>
      <c r="B128">
        <v>75</v>
      </c>
      <c r="C128">
        <v>4.8099999999999997E-2</v>
      </c>
      <c r="D128">
        <v>270</v>
      </c>
    </row>
    <row r="129" spans="1:4" x14ac:dyDescent="0.25">
      <c r="A129">
        <v>77</v>
      </c>
      <c r="B129">
        <v>76</v>
      </c>
      <c r="C129">
        <v>0.14799999999999999</v>
      </c>
      <c r="D129">
        <v>270</v>
      </c>
    </row>
    <row r="130" spans="1:4" x14ac:dyDescent="0.25">
      <c r="A130">
        <v>118</v>
      </c>
      <c r="B130">
        <v>76</v>
      </c>
      <c r="C130">
        <v>5.4399999999999997E-2</v>
      </c>
      <c r="D130">
        <v>270</v>
      </c>
    </row>
    <row r="131" spans="1:4" x14ac:dyDescent="0.25">
      <c r="A131">
        <v>78</v>
      </c>
      <c r="B131">
        <v>77</v>
      </c>
      <c r="C131">
        <v>1.24E-2</v>
      </c>
      <c r="D131">
        <v>270</v>
      </c>
    </row>
    <row r="132" spans="1:4" x14ac:dyDescent="0.25">
      <c r="A132">
        <v>80</v>
      </c>
      <c r="B132">
        <v>77</v>
      </c>
      <c r="C132">
        <v>4.8500000000000001E-2</v>
      </c>
      <c r="D132">
        <v>490</v>
      </c>
    </row>
    <row r="133" spans="1:4" x14ac:dyDescent="0.25">
      <c r="A133">
        <v>80</v>
      </c>
      <c r="B133">
        <v>77</v>
      </c>
      <c r="C133">
        <v>0.105</v>
      </c>
      <c r="D133">
        <v>270</v>
      </c>
    </row>
    <row r="134" spans="1:4" x14ac:dyDescent="0.25">
      <c r="A134">
        <v>82</v>
      </c>
      <c r="B134">
        <v>77</v>
      </c>
      <c r="C134">
        <v>8.5300000000000001E-2</v>
      </c>
      <c r="D134">
        <v>370</v>
      </c>
    </row>
    <row r="135" spans="1:4" x14ac:dyDescent="0.25">
      <c r="A135">
        <v>79</v>
      </c>
      <c r="B135">
        <v>78</v>
      </c>
      <c r="C135">
        <v>2.4400000000000002E-2</v>
      </c>
      <c r="D135">
        <v>270</v>
      </c>
    </row>
    <row r="136" spans="1:4" x14ac:dyDescent="0.25">
      <c r="A136">
        <v>80</v>
      </c>
      <c r="B136">
        <v>79</v>
      </c>
      <c r="C136">
        <v>7.0400000000000004E-2</v>
      </c>
      <c r="D136">
        <v>270</v>
      </c>
    </row>
    <row r="137" spans="1:4" x14ac:dyDescent="0.25">
      <c r="A137">
        <v>96</v>
      </c>
      <c r="B137">
        <v>80</v>
      </c>
      <c r="C137">
        <v>0.182</v>
      </c>
      <c r="D137">
        <v>270</v>
      </c>
    </row>
    <row r="138" spans="1:4" x14ac:dyDescent="0.25">
      <c r="A138">
        <v>97</v>
      </c>
      <c r="B138">
        <v>80</v>
      </c>
      <c r="C138">
        <v>9.3399999999999997E-2</v>
      </c>
      <c r="D138">
        <v>270</v>
      </c>
    </row>
    <row r="139" spans="1:4" x14ac:dyDescent="0.25">
      <c r="A139">
        <v>98</v>
      </c>
      <c r="B139">
        <v>80</v>
      </c>
      <c r="C139">
        <v>0.108</v>
      </c>
      <c r="D139">
        <v>270</v>
      </c>
    </row>
    <row r="140" spans="1:4" x14ac:dyDescent="0.25">
      <c r="A140">
        <v>99</v>
      </c>
      <c r="B140">
        <v>80</v>
      </c>
      <c r="C140">
        <v>0.20599999999999999</v>
      </c>
      <c r="D140">
        <v>270</v>
      </c>
    </row>
    <row r="141" spans="1:4" x14ac:dyDescent="0.25">
      <c r="A141">
        <v>80</v>
      </c>
      <c r="B141">
        <v>81</v>
      </c>
      <c r="C141">
        <v>3.6999999999999998E-2</v>
      </c>
      <c r="D141">
        <v>270</v>
      </c>
    </row>
    <row r="142" spans="1:4" x14ac:dyDescent="0.25">
      <c r="A142">
        <v>83</v>
      </c>
      <c r="B142">
        <v>82</v>
      </c>
      <c r="C142">
        <v>3.6650000000000002E-2</v>
      </c>
      <c r="D142">
        <v>370</v>
      </c>
    </row>
    <row r="143" spans="1:4" x14ac:dyDescent="0.25">
      <c r="A143">
        <v>96</v>
      </c>
      <c r="B143">
        <v>82</v>
      </c>
      <c r="C143">
        <v>5.2999999999999999E-2</v>
      </c>
      <c r="D143">
        <v>270</v>
      </c>
    </row>
    <row r="144" spans="1:4" x14ac:dyDescent="0.25">
      <c r="A144">
        <v>84</v>
      </c>
      <c r="B144">
        <v>83</v>
      </c>
      <c r="C144">
        <v>0.13200000000000001</v>
      </c>
      <c r="D144">
        <v>270</v>
      </c>
    </row>
    <row r="145" spans="1:4" x14ac:dyDescent="0.25">
      <c r="A145">
        <v>85</v>
      </c>
      <c r="B145">
        <v>83</v>
      </c>
      <c r="C145">
        <v>0.14799999999999999</v>
      </c>
      <c r="D145">
        <v>270</v>
      </c>
    </row>
    <row r="146" spans="1:4" x14ac:dyDescent="0.25">
      <c r="A146">
        <v>85</v>
      </c>
      <c r="B146">
        <v>84</v>
      </c>
      <c r="C146">
        <v>6.4100000000000004E-2</v>
      </c>
      <c r="D146">
        <v>270</v>
      </c>
    </row>
    <row r="147" spans="1:4" x14ac:dyDescent="0.25">
      <c r="A147">
        <v>86</v>
      </c>
      <c r="B147">
        <v>85</v>
      </c>
      <c r="C147">
        <v>0.123</v>
      </c>
      <c r="D147">
        <v>270</v>
      </c>
    </row>
    <row r="148" spans="1:4" x14ac:dyDescent="0.25">
      <c r="A148">
        <v>88</v>
      </c>
      <c r="B148">
        <v>85</v>
      </c>
      <c r="C148">
        <v>0.10199999999999999</v>
      </c>
      <c r="D148">
        <v>270</v>
      </c>
    </row>
    <row r="149" spans="1:4" x14ac:dyDescent="0.25">
      <c r="A149">
        <v>89</v>
      </c>
      <c r="B149">
        <v>85</v>
      </c>
      <c r="C149">
        <v>0.17299999999999999</v>
      </c>
      <c r="D149">
        <v>270</v>
      </c>
    </row>
    <row r="150" spans="1:4" x14ac:dyDescent="0.25">
      <c r="A150">
        <v>87</v>
      </c>
      <c r="B150">
        <v>86</v>
      </c>
      <c r="C150">
        <v>0.2074</v>
      </c>
      <c r="D150">
        <v>270</v>
      </c>
    </row>
    <row r="151" spans="1:4" x14ac:dyDescent="0.25">
      <c r="A151">
        <v>89</v>
      </c>
      <c r="B151">
        <v>88</v>
      </c>
      <c r="C151">
        <v>7.1199999999999999E-2</v>
      </c>
      <c r="D151">
        <v>490</v>
      </c>
    </row>
    <row r="152" spans="1:4" x14ac:dyDescent="0.25">
      <c r="A152">
        <v>90</v>
      </c>
      <c r="B152">
        <v>89</v>
      </c>
      <c r="C152">
        <v>3.2000000000000001E-2</v>
      </c>
      <c r="D152">
        <v>810</v>
      </c>
    </row>
    <row r="153" spans="1:4" x14ac:dyDescent="0.25">
      <c r="A153">
        <v>91</v>
      </c>
      <c r="B153">
        <v>89</v>
      </c>
      <c r="C153">
        <v>3.2000000000000001E-2</v>
      </c>
      <c r="D153">
        <v>270</v>
      </c>
    </row>
    <row r="154" spans="1:4" x14ac:dyDescent="0.25">
      <c r="A154">
        <v>92</v>
      </c>
      <c r="B154">
        <v>89</v>
      </c>
      <c r="C154">
        <v>5.0500000000000003E-2</v>
      </c>
      <c r="D154">
        <v>370</v>
      </c>
    </row>
    <row r="155" spans="1:4" x14ac:dyDescent="0.25">
      <c r="A155">
        <v>91</v>
      </c>
      <c r="B155">
        <v>90</v>
      </c>
      <c r="C155">
        <v>5.0500000000000003E-2</v>
      </c>
      <c r="D155">
        <v>710</v>
      </c>
    </row>
    <row r="156" spans="1:4" x14ac:dyDescent="0.25">
      <c r="A156">
        <v>92</v>
      </c>
      <c r="B156">
        <v>91</v>
      </c>
      <c r="C156">
        <v>0.12720000000000001</v>
      </c>
      <c r="D156">
        <v>470</v>
      </c>
    </row>
    <row r="157" spans="1:4" x14ac:dyDescent="0.25">
      <c r="A157">
        <v>93</v>
      </c>
      <c r="B157">
        <v>92</v>
      </c>
      <c r="C157">
        <v>3.2000000000000001E-2</v>
      </c>
      <c r="D157">
        <v>270</v>
      </c>
    </row>
    <row r="158" spans="1:4" x14ac:dyDescent="0.25">
      <c r="A158">
        <v>94</v>
      </c>
      <c r="B158">
        <v>92</v>
      </c>
      <c r="C158">
        <v>0.158</v>
      </c>
      <c r="D158">
        <v>810</v>
      </c>
    </row>
    <row r="159" spans="1:4" x14ac:dyDescent="0.25">
      <c r="A159">
        <v>100</v>
      </c>
      <c r="B159">
        <v>92</v>
      </c>
      <c r="C159">
        <v>0.29499999999999998</v>
      </c>
      <c r="D159">
        <v>270</v>
      </c>
    </row>
    <row r="160" spans="1:4" x14ac:dyDescent="0.25">
      <c r="A160">
        <v>102</v>
      </c>
      <c r="B160">
        <v>92</v>
      </c>
      <c r="C160">
        <v>5.5899999999999998E-2</v>
      </c>
      <c r="D160">
        <v>270</v>
      </c>
    </row>
    <row r="161" spans="1:4" x14ac:dyDescent="0.25">
      <c r="A161">
        <v>94</v>
      </c>
      <c r="B161">
        <v>93</v>
      </c>
      <c r="C161">
        <v>7.3200000000000001E-2</v>
      </c>
      <c r="D161">
        <v>270</v>
      </c>
    </row>
    <row r="162" spans="1:4" x14ac:dyDescent="0.25">
      <c r="A162">
        <v>95</v>
      </c>
      <c r="B162">
        <v>94</v>
      </c>
      <c r="C162">
        <v>4.3400000000000001E-2</v>
      </c>
      <c r="D162">
        <v>270</v>
      </c>
    </row>
    <row r="163" spans="1:4" x14ac:dyDescent="0.25">
      <c r="A163">
        <v>96</v>
      </c>
      <c r="B163">
        <v>94</v>
      </c>
      <c r="C163">
        <v>8.6900000000000005E-2</v>
      </c>
      <c r="D163">
        <v>370</v>
      </c>
    </row>
    <row r="164" spans="1:4" x14ac:dyDescent="0.25">
      <c r="A164">
        <v>100</v>
      </c>
      <c r="B164">
        <v>94</v>
      </c>
      <c r="C164">
        <v>5.8000000000000003E-2</v>
      </c>
      <c r="D164">
        <v>270</v>
      </c>
    </row>
    <row r="165" spans="1:4" x14ac:dyDescent="0.25">
      <c r="A165">
        <v>96</v>
      </c>
      <c r="B165">
        <v>95</v>
      </c>
      <c r="C165">
        <v>5.4699999999999999E-2</v>
      </c>
      <c r="D165">
        <v>270</v>
      </c>
    </row>
    <row r="166" spans="1:4" x14ac:dyDescent="0.25">
      <c r="A166">
        <v>97</v>
      </c>
      <c r="B166">
        <v>96</v>
      </c>
      <c r="C166">
        <v>8.8499999999999995E-2</v>
      </c>
      <c r="D166">
        <v>570</v>
      </c>
    </row>
    <row r="167" spans="1:4" x14ac:dyDescent="0.25">
      <c r="A167">
        <v>100</v>
      </c>
      <c r="B167">
        <v>98</v>
      </c>
      <c r="C167">
        <v>0.17899999999999999</v>
      </c>
      <c r="D167">
        <v>270</v>
      </c>
    </row>
    <row r="168" spans="1:4" x14ac:dyDescent="0.25">
      <c r="A168">
        <v>100</v>
      </c>
      <c r="B168">
        <v>99</v>
      </c>
      <c r="C168">
        <v>8.1299999999999997E-2</v>
      </c>
      <c r="D168">
        <v>270</v>
      </c>
    </row>
    <row r="169" spans="1:4" x14ac:dyDescent="0.25">
      <c r="A169">
        <v>101</v>
      </c>
      <c r="B169">
        <v>100</v>
      </c>
      <c r="C169">
        <v>0.12620000000000001</v>
      </c>
      <c r="D169">
        <v>270</v>
      </c>
    </row>
    <row r="170" spans="1:4" x14ac:dyDescent="0.25">
      <c r="A170">
        <v>103</v>
      </c>
      <c r="B170">
        <v>100</v>
      </c>
      <c r="C170">
        <v>5.2499999999999998E-2</v>
      </c>
      <c r="D170">
        <v>490</v>
      </c>
    </row>
    <row r="171" spans="1:4" x14ac:dyDescent="0.25">
      <c r="A171">
        <v>104</v>
      </c>
      <c r="B171">
        <v>100</v>
      </c>
      <c r="C171">
        <v>0.20399999999999999</v>
      </c>
      <c r="D171">
        <v>270</v>
      </c>
    </row>
    <row r="172" spans="1:4" x14ac:dyDescent="0.25">
      <c r="A172">
        <v>106</v>
      </c>
      <c r="B172">
        <v>100</v>
      </c>
      <c r="C172">
        <v>0.22900000000000001</v>
      </c>
      <c r="D172">
        <v>270</v>
      </c>
    </row>
    <row r="173" spans="1:4" x14ac:dyDescent="0.25">
      <c r="A173">
        <v>102</v>
      </c>
      <c r="B173">
        <v>101</v>
      </c>
      <c r="C173">
        <v>0.112</v>
      </c>
      <c r="D173">
        <v>270</v>
      </c>
    </row>
    <row r="174" spans="1:4" x14ac:dyDescent="0.25">
      <c r="A174">
        <v>104</v>
      </c>
      <c r="B174">
        <v>103</v>
      </c>
      <c r="C174">
        <v>0.15840000000000001</v>
      </c>
      <c r="D174">
        <v>270</v>
      </c>
    </row>
    <row r="175" spans="1:4" x14ac:dyDescent="0.25">
      <c r="A175">
        <v>105</v>
      </c>
      <c r="B175">
        <v>103</v>
      </c>
      <c r="C175">
        <v>0.16250000000000001</v>
      </c>
      <c r="D175">
        <v>270</v>
      </c>
    </row>
    <row r="176" spans="1:4" x14ac:dyDescent="0.25">
      <c r="A176">
        <v>110</v>
      </c>
      <c r="B176">
        <v>103</v>
      </c>
      <c r="C176">
        <v>0.18129999999999999</v>
      </c>
      <c r="D176">
        <v>270</v>
      </c>
    </row>
    <row r="177" spans="1:4" x14ac:dyDescent="0.25">
      <c r="A177">
        <v>105</v>
      </c>
      <c r="B177">
        <v>104</v>
      </c>
      <c r="C177">
        <v>3.78E-2</v>
      </c>
      <c r="D177">
        <v>270</v>
      </c>
    </row>
    <row r="178" spans="1:4" x14ac:dyDescent="0.25">
      <c r="A178">
        <v>106</v>
      </c>
      <c r="B178">
        <v>105</v>
      </c>
      <c r="C178">
        <v>5.4699999999999999E-2</v>
      </c>
      <c r="D178">
        <v>270</v>
      </c>
    </row>
    <row r="179" spans="1:4" x14ac:dyDescent="0.25">
      <c r="A179">
        <v>107</v>
      </c>
      <c r="B179">
        <v>105</v>
      </c>
      <c r="C179">
        <v>0.183</v>
      </c>
      <c r="D179">
        <v>270</v>
      </c>
    </row>
    <row r="180" spans="1:4" x14ac:dyDescent="0.25">
      <c r="A180">
        <v>108</v>
      </c>
      <c r="B180">
        <v>105</v>
      </c>
      <c r="C180">
        <v>7.0300000000000001E-2</v>
      </c>
      <c r="D180">
        <v>270</v>
      </c>
    </row>
    <row r="181" spans="1:4" x14ac:dyDescent="0.25">
      <c r="A181">
        <v>107</v>
      </c>
      <c r="B181">
        <v>106</v>
      </c>
      <c r="C181">
        <v>0.183</v>
      </c>
      <c r="D181">
        <v>270</v>
      </c>
    </row>
    <row r="182" spans="1:4" x14ac:dyDescent="0.25">
      <c r="A182">
        <v>109</v>
      </c>
      <c r="B182">
        <v>108</v>
      </c>
      <c r="C182">
        <v>2.8799999999999999E-2</v>
      </c>
      <c r="D182">
        <v>270</v>
      </c>
    </row>
    <row r="183" spans="1:4" x14ac:dyDescent="0.25">
      <c r="A183">
        <v>110</v>
      </c>
      <c r="B183">
        <v>109</v>
      </c>
      <c r="C183">
        <v>7.6200000000000004E-2</v>
      </c>
      <c r="D183">
        <v>270</v>
      </c>
    </row>
    <row r="184" spans="1:4" x14ac:dyDescent="0.25">
      <c r="A184">
        <v>111</v>
      </c>
      <c r="B184">
        <v>110</v>
      </c>
      <c r="C184">
        <v>7.5499999999999998E-2</v>
      </c>
      <c r="D184">
        <v>370</v>
      </c>
    </row>
    <row r="185" spans="1:4" x14ac:dyDescent="0.25">
      <c r="A185">
        <v>112</v>
      </c>
      <c r="B185">
        <v>110</v>
      </c>
      <c r="C185">
        <v>6.4000000000000001E-2</v>
      </c>
      <c r="D185">
        <v>270</v>
      </c>
    </row>
    <row r="186" spans="1:4" x14ac:dyDescent="0.25">
      <c r="A186">
        <v>115</v>
      </c>
      <c r="B186">
        <v>114</v>
      </c>
      <c r="C186">
        <v>1.04E-2</v>
      </c>
      <c r="D186">
        <v>270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9D0C-5D0E-4EE1-9A9D-E3E010B2B756}">
  <dimension ref="A1:B100"/>
  <sheetViews>
    <sheetView workbookViewId="0">
      <selection activeCell="B1" sqref="B1:B1048576"/>
    </sheetView>
  </sheetViews>
  <sheetFormatPr defaultRowHeight="15" x14ac:dyDescent="0.25"/>
  <cols>
    <col min="1" max="1" width="10" bestFit="1" customWidth="1"/>
    <col min="2" max="2" width="14.42578125" bestFit="1" customWidth="1"/>
  </cols>
  <sheetData>
    <row r="1" spans="1:2" x14ac:dyDescent="0.25">
      <c r="A1" t="s">
        <v>1</v>
      </c>
      <c r="B1" t="s">
        <v>10</v>
      </c>
    </row>
    <row r="2" spans="1:2" x14ac:dyDescent="0.25">
      <c r="A2">
        <v>1</v>
      </c>
      <c r="B2">
        <v>51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39</v>
      </c>
    </row>
    <row r="5" spans="1:2" x14ac:dyDescent="0.25">
      <c r="A5">
        <v>4</v>
      </c>
      <c r="B5">
        <v>39</v>
      </c>
    </row>
    <row r="6" spans="1:2" x14ac:dyDescent="0.25">
      <c r="A6">
        <v>6</v>
      </c>
      <c r="B6">
        <v>52</v>
      </c>
    </row>
    <row r="7" spans="1:2" x14ac:dyDescent="0.25">
      <c r="A7">
        <v>7</v>
      </c>
      <c r="B7">
        <v>19</v>
      </c>
    </row>
    <row r="8" spans="1:2" x14ac:dyDescent="0.25">
      <c r="A8">
        <v>8</v>
      </c>
      <c r="B8">
        <v>28</v>
      </c>
    </row>
    <row r="9" spans="1:2" x14ac:dyDescent="0.25">
      <c r="A9">
        <v>11</v>
      </c>
      <c r="B9">
        <v>70</v>
      </c>
    </row>
    <row r="10" spans="1:2" x14ac:dyDescent="0.25">
      <c r="A10">
        <v>12</v>
      </c>
      <c r="B10">
        <v>47</v>
      </c>
    </row>
    <row r="11" spans="1:2" x14ac:dyDescent="0.25">
      <c r="A11">
        <v>13</v>
      </c>
      <c r="B11">
        <v>34</v>
      </c>
    </row>
    <row r="12" spans="1:2" x14ac:dyDescent="0.25">
      <c r="A12">
        <v>14</v>
      </c>
      <c r="B12">
        <v>14</v>
      </c>
    </row>
    <row r="13" spans="1:2" x14ac:dyDescent="0.25">
      <c r="A13">
        <v>15</v>
      </c>
      <c r="B13">
        <v>90</v>
      </c>
    </row>
    <row r="14" spans="1:2" x14ac:dyDescent="0.25">
      <c r="A14">
        <v>16</v>
      </c>
      <c r="B14">
        <v>25</v>
      </c>
    </row>
    <row r="15" spans="1:2" x14ac:dyDescent="0.25">
      <c r="A15">
        <v>17</v>
      </c>
      <c r="B15">
        <v>11</v>
      </c>
    </row>
    <row r="16" spans="1:2" x14ac:dyDescent="0.25">
      <c r="A16">
        <v>18</v>
      </c>
      <c r="B16">
        <v>60</v>
      </c>
    </row>
    <row r="17" spans="1:2" x14ac:dyDescent="0.25">
      <c r="A17">
        <v>19</v>
      </c>
      <c r="B17">
        <v>45</v>
      </c>
    </row>
    <row r="18" spans="1:2" x14ac:dyDescent="0.25">
      <c r="A18">
        <v>20</v>
      </c>
      <c r="B18">
        <v>18</v>
      </c>
    </row>
    <row r="19" spans="1:2" x14ac:dyDescent="0.25">
      <c r="A19">
        <v>21</v>
      </c>
      <c r="B19">
        <v>14</v>
      </c>
    </row>
    <row r="20" spans="1:2" x14ac:dyDescent="0.25">
      <c r="A20">
        <v>22</v>
      </c>
      <c r="B20">
        <v>10</v>
      </c>
    </row>
    <row r="21" spans="1:2" x14ac:dyDescent="0.25">
      <c r="A21">
        <v>23</v>
      </c>
      <c r="B21">
        <v>7</v>
      </c>
    </row>
    <row r="22" spans="1:2" x14ac:dyDescent="0.25">
      <c r="A22">
        <v>24</v>
      </c>
      <c r="B22">
        <v>13</v>
      </c>
    </row>
    <row r="23" spans="1:2" x14ac:dyDescent="0.25">
      <c r="A23">
        <v>27</v>
      </c>
      <c r="B23">
        <v>71</v>
      </c>
    </row>
    <row r="24" spans="1:2" x14ac:dyDescent="0.25">
      <c r="A24">
        <v>28</v>
      </c>
      <c r="B24">
        <v>17</v>
      </c>
    </row>
    <row r="25" spans="1:2" x14ac:dyDescent="0.25">
      <c r="A25">
        <v>29</v>
      </c>
      <c r="B25">
        <v>24</v>
      </c>
    </row>
    <row r="26" spans="1:2" x14ac:dyDescent="0.25">
      <c r="A26">
        <v>31</v>
      </c>
      <c r="B26">
        <v>43</v>
      </c>
    </row>
    <row r="27" spans="1:2" x14ac:dyDescent="0.25">
      <c r="A27">
        <v>32</v>
      </c>
      <c r="B27">
        <v>59</v>
      </c>
    </row>
    <row r="28" spans="1:2" x14ac:dyDescent="0.25">
      <c r="A28">
        <v>33</v>
      </c>
      <c r="B28">
        <v>23</v>
      </c>
    </row>
    <row r="29" spans="1:2" x14ac:dyDescent="0.25">
      <c r="A29">
        <v>34</v>
      </c>
      <c r="B29">
        <v>59</v>
      </c>
    </row>
    <row r="30" spans="1:2" x14ac:dyDescent="0.25">
      <c r="A30">
        <v>35</v>
      </c>
      <c r="B30">
        <v>33</v>
      </c>
    </row>
    <row r="31" spans="1:2" x14ac:dyDescent="0.25">
      <c r="A31">
        <v>36</v>
      </c>
      <c r="B31">
        <v>31</v>
      </c>
    </row>
    <row r="32" spans="1:2" x14ac:dyDescent="0.25">
      <c r="A32">
        <v>39</v>
      </c>
      <c r="B32">
        <v>27</v>
      </c>
    </row>
    <row r="33" spans="1:2" x14ac:dyDescent="0.25">
      <c r="A33">
        <v>40</v>
      </c>
      <c r="B33">
        <v>66</v>
      </c>
    </row>
    <row r="34" spans="1:2" x14ac:dyDescent="0.25">
      <c r="A34">
        <v>41</v>
      </c>
      <c r="B34">
        <v>37</v>
      </c>
    </row>
    <row r="35" spans="1:2" x14ac:dyDescent="0.25">
      <c r="A35">
        <v>42</v>
      </c>
      <c r="B35">
        <v>96</v>
      </c>
    </row>
    <row r="36" spans="1:2" x14ac:dyDescent="0.25">
      <c r="A36">
        <v>43</v>
      </c>
      <c r="B36">
        <v>18</v>
      </c>
    </row>
    <row r="37" spans="1:2" x14ac:dyDescent="0.25">
      <c r="A37">
        <v>44</v>
      </c>
      <c r="B37">
        <v>16</v>
      </c>
    </row>
    <row r="38" spans="1:2" x14ac:dyDescent="0.25">
      <c r="A38">
        <v>45</v>
      </c>
      <c r="B38">
        <v>53</v>
      </c>
    </row>
    <row r="39" spans="1:2" x14ac:dyDescent="0.25">
      <c r="A39">
        <v>46</v>
      </c>
      <c r="B39">
        <v>28</v>
      </c>
    </row>
    <row r="40" spans="1:2" x14ac:dyDescent="0.25">
      <c r="A40">
        <v>47</v>
      </c>
      <c r="B40">
        <v>34</v>
      </c>
    </row>
    <row r="41" spans="1:2" x14ac:dyDescent="0.25">
      <c r="A41">
        <v>48</v>
      </c>
      <c r="B41">
        <v>20</v>
      </c>
    </row>
    <row r="42" spans="1:2" x14ac:dyDescent="0.25">
      <c r="A42">
        <v>49</v>
      </c>
      <c r="B42">
        <v>87</v>
      </c>
    </row>
    <row r="43" spans="1:2" x14ac:dyDescent="0.25">
      <c r="A43">
        <v>50</v>
      </c>
      <c r="B43">
        <v>17</v>
      </c>
    </row>
    <row r="44" spans="1:2" x14ac:dyDescent="0.25">
      <c r="A44">
        <v>51</v>
      </c>
      <c r="B44">
        <v>17</v>
      </c>
    </row>
    <row r="45" spans="1:2" x14ac:dyDescent="0.25">
      <c r="A45">
        <v>52</v>
      </c>
      <c r="B45">
        <v>18</v>
      </c>
    </row>
    <row r="46" spans="1:2" x14ac:dyDescent="0.25">
      <c r="A46">
        <v>53</v>
      </c>
      <c r="B46">
        <v>23</v>
      </c>
    </row>
    <row r="47" spans="1:2" x14ac:dyDescent="0.25">
      <c r="A47">
        <v>54</v>
      </c>
      <c r="B47">
        <v>113</v>
      </c>
    </row>
    <row r="48" spans="1:2" x14ac:dyDescent="0.25">
      <c r="A48">
        <v>55</v>
      </c>
      <c r="B48">
        <v>63</v>
      </c>
    </row>
    <row r="49" spans="1:2" x14ac:dyDescent="0.25">
      <c r="A49">
        <v>56</v>
      </c>
      <c r="B49">
        <v>84</v>
      </c>
    </row>
    <row r="50" spans="1:2" x14ac:dyDescent="0.25">
      <c r="A50">
        <v>57</v>
      </c>
      <c r="B50">
        <v>12</v>
      </c>
    </row>
    <row r="51" spans="1:2" x14ac:dyDescent="0.25">
      <c r="A51">
        <v>58</v>
      </c>
      <c r="B51">
        <v>12</v>
      </c>
    </row>
    <row r="52" spans="1:2" x14ac:dyDescent="0.25">
      <c r="A52">
        <v>59</v>
      </c>
      <c r="B52">
        <v>277</v>
      </c>
    </row>
    <row r="53" spans="1:2" x14ac:dyDescent="0.25">
      <c r="A53">
        <v>60</v>
      </c>
      <c r="B53">
        <v>78</v>
      </c>
    </row>
    <row r="54" spans="1:2" x14ac:dyDescent="0.25">
      <c r="A54">
        <v>62</v>
      </c>
      <c r="B54">
        <v>77</v>
      </c>
    </row>
    <row r="55" spans="1:2" x14ac:dyDescent="0.25">
      <c r="A55">
        <v>66</v>
      </c>
      <c r="B55">
        <v>39</v>
      </c>
    </row>
    <row r="56" spans="1:2" x14ac:dyDescent="0.25">
      <c r="A56">
        <v>67</v>
      </c>
      <c r="B56">
        <v>28</v>
      </c>
    </row>
    <row r="57" spans="1:2" x14ac:dyDescent="0.25">
      <c r="A57">
        <v>70</v>
      </c>
      <c r="B57">
        <v>66</v>
      </c>
    </row>
    <row r="58" spans="1:2" x14ac:dyDescent="0.25">
      <c r="A58">
        <v>72</v>
      </c>
      <c r="B58">
        <v>12</v>
      </c>
    </row>
    <row r="59" spans="1:2" x14ac:dyDescent="0.25">
      <c r="A59">
        <v>73</v>
      </c>
      <c r="B59">
        <v>6</v>
      </c>
    </row>
    <row r="60" spans="1:2" x14ac:dyDescent="0.25">
      <c r="A60">
        <v>74</v>
      </c>
      <c r="B60">
        <v>68</v>
      </c>
    </row>
    <row r="61" spans="1:2" x14ac:dyDescent="0.25">
      <c r="A61">
        <v>75</v>
      </c>
      <c r="B61">
        <v>47</v>
      </c>
    </row>
    <row r="62" spans="1:2" x14ac:dyDescent="0.25">
      <c r="A62">
        <v>76</v>
      </c>
      <c r="B62">
        <v>68</v>
      </c>
    </row>
    <row r="63" spans="1:2" x14ac:dyDescent="0.25">
      <c r="A63">
        <v>77</v>
      </c>
      <c r="B63">
        <v>61</v>
      </c>
    </row>
    <row r="64" spans="1:2" x14ac:dyDescent="0.25">
      <c r="A64">
        <v>78</v>
      </c>
      <c r="B64">
        <v>71</v>
      </c>
    </row>
    <row r="65" spans="1:2" x14ac:dyDescent="0.25">
      <c r="A65">
        <v>79</v>
      </c>
      <c r="B65">
        <v>39</v>
      </c>
    </row>
    <row r="66" spans="1:2" x14ac:dyDescent="0.25">
      <c r="A66">
        <v>80</v>
      </c>
      <c r="B66">
        <v>130</v>
      </c>
    </row>
    <row r="67" spans="1:2" x14ac:dyDescent="0.25">
      <c r="A67">
        <v>82</v>
      </c>
      <c r="B67">
        <v>54</v>
      </c>
    </row>
    <row r="68" spans="1:2" x14ac:dyDescent="0.25">
      <c r="A68">
        <v>83</v>
      </c>
      <c r="B68">
        <v>20</v>
      </c>
    </row>
    <row r="69" spans="1:2" x14ac:dyDescent="0.25">
      <c r="A69">
        <v>84</v>
      </c>
      <c r="B69">
        <v>11</v>
      </c>
    </row>
    <row r="70" spans="1:2" x14ac:dyDescent="0.25">
      <c r="A70">
        <v>85</v>
      </c>
      <c r="B70">
        <v>24</v>
      </c>
    </row>
    <row r="71" spans="1:2" x14ac:dyDescent="0.25">
      <c r="A71">
        <v>86</v>
      </c>
      <c r="B71">
        <v>21</v>
      </c>
    </row>
    <row r="72" spans="1:2" x14ac:dyDescent="0.25">
      <c r="A72">
        <v>88</v>
      </c>
      <c r="B72">
        <v>48</v>
      </c>
    </row>
    <row r="73" spans="1:2" x14ac:dyDescent="0.25">
      <c r="A73">
        <v>90</v>
      </c>
      <c r="B73">
        <v>440</v>
      </c>
    </row>
    <row r="74" spans="1:2" x14ac:dyDescent="0.25">
      <c r="A74">
        <v>91</v>
      </c>
      <c r="B74">
        <v>10</v>
      </c>
    </row>
    <row r="75" spans="1:2" x14ac:dyDescent="0.25">
      <c r="A75">
        <v>92</v>
      </c>
      <c r="B75">
        <v>65</v>
      </c>
    </row>
    <row r="76" spans="1:2" x14ac:dyDescent="0.25">
      <c r="A76">
        <v>93</v>
      </c>
      <c r="B76">
        <v>12</v>
      </c>
    </row>
    <row r="77" spans="1:2" x14ac:dyDescent="0.25">
      <c r="A77">
        <v>94</v>
      </c>
      <c r="B77">
        <v>30</v>
      </c>
    </row>
    <row r="78" spans="1:2" x14ac:dyDescent="0.25">
      <c r="A78">
        <v>95</v>
      </c>
      <c r="B78">
        <v>42</v>
      </c>
    </row>
    <row r="79" spans="1:2" x14ac:dyDescent="0.25">
      <c r="A79">
        <v>96</v>
      </c>
      <c r="B79">
        <v>38</v>
      </c>
    </row>
    <row r="80" spans="1:2" x14ac:dyDescent="0.25">
      <c r="A80">
        <v>97</v>
      </c>
      <c r="B80">
        <v>15</v>
      </c>
    </row>
    <row r="81" spans="1:2" x14ac:dyDescent="0.25">
      <c r="A81">
        <v>98</v>
      </c>
      <c r="B81">
        <v>34</v>
      </c>
    </row>
    <row r="82" spans="1:2" x14ac:dyDescent="0.25">
      <c r="A82">
        <v>99</v>
      </c>
      <c r="B82">
        <v>42</v>
      </c>
    </row>
    <row r="83" spans="1:2" x14ac:dyDescent="0.25">
      <c r="A83">
        <v>100</v>
      </c>
      <c r="B83">
        <v>37</v>
      </c>
    </row>
    <row r="84" spans="1:2" x14ac:dyDescent="0.25">
      <c r="A84">
        <v>101</v>
      </c>
      <c r="B84">
        <v>22</v>
      </c>
    </row>
    <row r="85" spans="1:2" x14ac:dyDescent="0.25">
      <c r="A85">
        <v>102</v>
      </c>
      <c r="B85">
        <v>5</v>
      </c>
    </row>
    <row r="86" spans="1:2" x14ac:dyDescent="0.25">
      <c r="A86">
        <v>103</v>
      </c>
      <c r="B86">
        <v>23</v>
      </c>
    </row>
    <row r="87" spans="1:2" x14ac:dyDescent="0.25">
      <c r="A87">
        <v>104</v>
      </c>
      <c r="B87">
        <v>38</v>
      </c>
    </row>
    <row r="88" spans="1:2" x14ac:dyDescent="0.25">
      <c r="A88">
        <v>105</v>
      </c>
      <c r="B88">
        <v>31</v>
      </c>
    </row>
    <row r="89" spans="1:2" x14ac:dyDescent="0.25">
      <c r="A89">
        <v>106</v>
      </c>
      <c r="B89">
        <v>43</v>
      </c>
    </row>
    <row r="90" spans="1:2" x14ac:dyDescent="0.25">
      <c r="A90">
        <v>107</v>
      </c>
      <c r="B90">
        <v>50</v>
      </c>
    </row>
    <row r="91" spans="1:2" x14ac:dyDescent="0.25">
      <c r="A91">
        <v>108</v>
      </c>
      <c r="B91">
        <v>2</v>
      </c>
    </row>
    <row r="92" spans="1:2" x14ac:dyDescent="0.25">
      <c r="A92">
        <v>109</v>
      </c>
      <c r="B92">
        <v>8</v>
      </c>
    </row>
    <row r="93" spans="1:2" x14ac:dyDescent="0.25">
      <c r="A93">
        <v>110</v>
      </c>
      <c r="B93">
        <v>39</v>
      </c>
    </row>
    <row r="94" spans="1:2" x14ac:dyDescent="0.25">
      <c r="A94">
        <v>112</v>
      </c>
      <c r="B94">
        <v>68</v>
      </c>
    </row>
    <row r="95" spans="1:2" x14ac:dyDescent="0.25">
      <c r="A95">
        <v>113</v>
      </c>
      <c r="B95">
        <v>6</v>
      </c>
    </row>
    <row r="96" spans="1:2" x14ac:dyDescent="0.25">
      <c r="A96">
        <v>114</v>
      </c>
      <c r="B96">
        <v>8</v>
      </c>
    </row>
    <row r="97" spans="1:2" x14ac:dyDescent="0.25">
      <c r="A97">
        <v>115</v>
      </c>
      <c r="B97">
        <v>22</v>
      </c>
    </row>
    <row r="98" spans="1:2" x14ac:dyDescent="0.25">
      <c r="A98">
        <v>116</v>
      </c>
      <c r="B98">
        <v>184</v>
      </c>
    </row>
    <row r="99" spans="1:2" x14ac:dyDescent="0.25">
      <c r="A99">
        <v>117</v>
      </c>
      <c r="B99">
        <v>20</v>
      </c>
    </row>
    <row r="100" spans="1:2" x14ac:dyDescent="0.25">
      <c r="A100">
        <v>118</v>
      </c>
      <c r="B100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81F9-871B-41AF-AE1C-38892D682E5D}">
  <dimension ref="A1:F11"/>
  <sheetViews>
    <sheetView tabSelected="1" workbookViewId="0">
      <selection activeCell="D16" sqref="D16"/>
    </sheetView>
  </sheetViews>
  <sheetFormatPr defaultRowHeight="15" x14ac:dyDescent="0.25"/>
  <cols>
    <col min="1" max="1" width="14.42578125" bestFit="1" customWidth="1"/>
    <col min="2" max="2" width="10.85546875" bestFit="1" customWidth="1"/>
    <col min="3" max="3" width="10.85546875" customWidth="1"/>
    <col min="4" max="4" width="23.85546875" customWidth="1"/>
    <col min="5" max="5" width="19" customWidth="1"/>
    <col min="6" max="6" width="19.140625" customWidth="1"/>
  </cols>
  <sheetData>
    <row r="1" spans="1:6" x14ac:dyDescent="0.25">
      <c r="A1" t="s">
        <v>11</v>
      </c>
      <c r="B1" t="s">
        <v>12</v>
      </c>
      <c r="C1" t="s">
        <v>14</v>
      </c>
      <c r="D1" t="s">
        <v>13</v>
      </c>
      <c r="E1" t="s">
        <v>15</v>
      </c>
      <c r="F1" t="s">
        <v>16</v>
      </c>
    </row>
    <row r="2" spans="1:6" x14ac:dyDescent="0.25">
      <c r="A2">
        <v>1</v>
      </c>
      <c r="B2">
        <v>57</v>
      </c>
      <c r="C2">
        <v>1</v>
      </c>
      <c r="D2">
        <f>225.95-100</f>
        <v>125.94999999999999</v>
      </c>
      <c r="E2">
        <v>0</v>
      </c>
      <c r="F2">
        <f t="shared" ref="F2:F11" si="0">2*D2</f>
        <v>251.89999999999998</v>
      </c>
    </row>
    <row r="3" spans="1:6" x14ac:dyDescent="0.25">
      <c r="A3">
        <v>2</v>
      </c>
      <c r="B3">
        <v>78</v>
      </c>
      <c r="C3">
        <v>1</v>
      </c>
      <c r="D3">
        <f>225.95-75.45</f>
        <v>150.5</v>
      </c>
      <c r="E3">
        <v>0</v>
      </c>
      <c r="F3">
        <f t="shared" si="0"/>
        <v>301</v>
      </c>
    </row>
    <row r="4" spans="1:6" x14ac:dyDescent="0.25">
      <c r="A4">
        <v>3</v>
      </c>
      <c r="B4">
        <v>97</v>
      </c>
      <c r="C4">
        <v>1</v>
      </c>
      <c r="D4">
        <f>225.95-100</f>
        <v>125.94999999999999</v>
      </c>
      <c r="E4">
        <v>0</v>
      </c>
      <c r="F4">
        <f t="shared" si="0"/>
        <v>251.89999999999998</v>
      </c>
    </row>
    <row r="5" spans="1:6" x14ac:dyDescent="0.25">
      <c r="A5">
        <v>4</v>
      </c>
      <c r="B5">
        <v>111</v>
      </c>
      <c r="C5">
        <v>1</v>
      </c>
      <c r="D5">
        <f>225.95-75.45</f>
        <v>150.5</v>
      </c>
      <c r="E5">
        <v>0</v>
      </c>
      <c r="F5">
        <f t="shared" si="0"/>
        <v>301</v>
      </c>
    </row>
    <row r="6" spans="1:6" x14ac:dyDescent="0.25">
      <c r="A6">
        <v>5</v>
      </c>
      <c r="B6">
        <v>2</v>
      </c>
      <c r="C6">
        <v>1</v>
      </c>
      <c r="D6">
        <v>50.5</v>
      </c>
      <c r="E6">
        <v>0</v>
      </c>
      <c r="F6">
        <f t="shared" si="0"/>
        <v>101</v>
      </c>
    </row>
    <row r="7" spans="1:6" x14ac:dyDescent="0.25">
      <c r="A7">
        <v>6</v>
      </c>
      <c r="B7">
        <v>45</v>
      </c>
      <c r="C7">
        <v>1</v>
      </c>
      <c r="D7">
        <v>75.25</v>
      </c>
      <c r="E7">
        <v>0</v>
      </c>
      <c r="F7">
        <f t="shared" si="0"/>
        <v>150.5</v>
      </c>
    </row>
    <row r="8" spans="1:6" x14ac:dyDescent="0.25">
      <c r="A8">
        <v>7</v>
      </c>
      <c r="B8">
        <v>23</v>
      </c>
      <c r="C8">
        <v>1</v>
      </c>
      <c r="D8">
        <v>100</v>
      </c>
      <c r="E8">
        <v>0</v>
      </c>
      <c r="F8">
        <f t="shared" si="0"/>
        <v>200</v>
      </c>
    </row>
    <row r="9" spans="1:6" x14ac:dyDescent="0.25">
      <c r="A9">
        <v>8</v>
      </c>
      <c r="B9">
        <v>89</v>
      </c>
      <c r="C9">
        <v>1</v>
      </c>
      <c r="D9">
        <v>62.35</v>
      </c>
      <c r="E9">
        <v>0</v>
      </c>
      <c r="F9">
        <f t="shared" si="0"/>
        <v>124.7</v>
      </c>
    </row>
    <row r="10" spans="1:6" x14ac:dyDescent="0.25">
      <c r="A10">
        <v>9</v>
      </c>
      <c r="B10">
        <v>100</v>
      </c>
      <c r="C10">
        <v>1</v>
      </c>
      <c r="D10">
        <f>59/2</f>
        <v>29.5</v>
      </c>
      <c r="E10">
        <v>0</v>
      </c>
      <c r="F10">
        <f t="shared" si="0"/>
        <v>59</v>
      </c>
    </row>
    <row r="11" spans="1:6" x14ac:dyDescent="0.25">
      <c r="A11">
        <v>10</v>
      </c>
      <c r="B11">
        <v>118</v>
      </c>
      <c r="C11">
        <v>1</v>
      </c>
      <c r="D11">
        <f>59/2+3.8</f>
        <v>33.299999999999997</v>
      </c>
      <c r="E11">
        <v>0</v>
      </c>
      <c r="F11">
        <f t="shared" si="0"/>
        <v>66.599999999999994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AAEBCE-989F-4C9F-8721-31B4843B6E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generators</vt:lpstr>
      <vt:lpstr>system</vt:lpstr>
      <vt:lpstr>load</vt:lpstr>
      <vt:lpstr>renewables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2026-02-18T00:37:46Z</dcterms:modified>
</cp:coreProperties>
</file>