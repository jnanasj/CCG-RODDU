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DNEL\data\"/>
    </mc:Choice>
  </mc:AlternateContent>
  <xr:revisionPtr revIDLastSave="0" documentId="13_ncr:1_{6451CD31-F041-4083-9DF1-9990BF205BB9}" xr6:coauthVersionLast="47" xr6:coauthVersionMax="47" xr10:uidLastSave="{00000000-0000-0000-0000-000000000000}"/>
  <bookViews>
    <workbookView xWindow="4770" yWindow="6015" windowWidth="21600" windowHeight="11295" xr2:uid="{00000000-000D-0000-FFFF-FFFF00000000}"/>
  </bookViews>
  <sheets>
    <sheet name="generators" sheetId="2" r:id="rId1"/>
    <sheet name="system" sheetId="3" r:id="rId2"/>
    <sheet name="renewables" sheetId="4" r:id="rId3"/>
  </sheets>
  <definedNames>
    <definedName name="ExternalData_1" localSheetId="0" hidden="1">generators!$A$1:$F$11</definedName>
    <definedName name="ExternalData_1" localSheetId="1" hidden="1">system!$A$1:$E$47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6" i="4"/>
  <c r="D4" i="4"/>
  <c r="D3" i="4"/>
  <c r="D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E71C72-04E4-45EF-9653-C84663C21E22}" keepAlive="1" name="Query - Table003 (Page 2)" description="Connection to the 'Table003 (Page 2)' query in the workbook." type="5" refreshedVersion="8" background="1" saveData="1">
    <dbPr connection="Provider=Microsoft.Mashup.OleDb.1;Data Source=$Workbook$;Location=&quot;Table003 (Page 2)&quot;;Extended Properties=&quot;&quot;" command="SELECT * FROM [Table003 (Page 2)]"/>
  </connection>
  <connection id="2" xr16:uid="{F206E8BB-7E63-469F-BB5E-A4B7322407BF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3" xr16:uid="{44BC9E3A-C213-4DA0-BD6E-CC9DFFA7530F}" keepAlive="1" name="Query - Table005 (Page 3)" description="Connection to the 'Table005 (Page 3)' query in the workbook." type="5" refreshedVersion="0" background="1">
    <dbPr connection="Provider=Microsoft.Mashup.OleDb.1;Data Source=$Workbook$;Location=&quot;Table005 (Page 3)&quot;;Extended Properties=&quot;&quot;" command="SELECT * FROM [Table005 (Page 3)]"/>
  </connection>
</connections>
</file>

<file path=xl/sharedStrings.xml><?xml version="1.0" encoding="utf-8"?>
<sst xmlns="http://schemas.openxmlformats.org/spreadsheetml/2006/main" count="17" uniqueCount="16">
  <si>
    <t>Unit</t>
  </si>
  <si>
    <t>𝑃_{𝑖}^{𝑙} (kW)</t>
  </si>
  <si>
    <t>𝑃_{𝑖}^{𝑢} (kW)</t>
  </si>
  <si>
    <t>𝑟^{∗} (kW)</t>
  </si>
  <si>
    <t>𝑝^{∗} (kW)</t>
  </si>
  <si>
    <t>Location
(Node.)</t>
  </si>
  <si>
    <t>To</t>
  </si>
  <si>
    <t>From</t>
  </si>
  <si>
    <t>𝑋</t>
  </si>
  <si>
    <t>𝐹_{𝑙}</t>
  </si>
  <si>
    <t>Fixed demand at
from-node (kW)</t>
  </si>
  <si>
    <t>Bus</t>
  </si>
  <si>
    <t>contribution factor</t>
  </si>
  <si>
    <t>forecast [kW]</t>
  </si>
  <si>
    <t>min capacity [kW]</t>
  </si>
  <si>
    <t>max capacity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</si>
</sst>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right" wrapText="1"/>
    </xf>
    <xf numFmtId="0" fontId="1" fillId="0" borderId="0" xfId="0" applyFont="1"/>
  </cellXfs>
  <cellStyles count="1">
    <cellStyle name="Normal" xfId="0" builtinId="0"/>
  </cellStyles>
  <dxfs count="1">
    <dxf>
      <numFmt numFmtId="2" formatCode="0.0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98FBFF-1584-4561-A17C-1AFD47F10620}" autoFormatId="16" applyNumberFormats="0" applyBorderFormats="0" applyFontFormats="0" applyPatternFormats="0" applyAlignmentFormats="0" applyWidthHeightFormats="0">
  <queryTableRefresh nextId="7">
    <queryTableFields count="6">
      <queryTableField id="1" name="Unit" tableColumnId="1"/>
      <queryTableField id="2" name="𝑃_{𝑖}^{𝑙} (kW)" tableColumnId="2"/>
      <queryTableField id="3" name="𝑃_{𝑖}^{𝑢} (kW)" tableColumnId="3"/>
      <queryTableField id="4" name="𝑟^{∗} (kW)" tableColumnId="4"/>
      <queryTableField id="5" name="𝑝^{∗} (kW)" tableColumnId="5"/>
      <queryTableField id="6" name="Location_x000a_(Node.)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5E7E229-94A3-4CC4-B38C-CBE442644155}" autoFormatId="16" applyNumberFormats="0" applyBorderFormats="0" applyFontFormats="0" applyPatternFormats="0" applyAlignmentFormats="0" applyWidthHeightFormats="0">
  <queryTableRefresh nextId="6">
    <queryTableFields count="5">
      <queryTableField id="1" name="To" tableColumnId="1"/>
      <queryTableField id="2" name="From" tableColumnId="2"/>
      <queryTableField id="3" name="𝑋" tableColumnId="3"/>
      <queryTableField id="4" name="𝐹_{𝑙}" tableColumnId="4"/>
      <queryTableField id="5" name="Fixed demand at_x000a_from-node (kW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051B5F-CB66-418D-9899-CE425984C4A4}" name="Table003__Page_2" displayName="Table003__Page_2" ref="A1:F11" tableType="queryTable" totalsRowShown="0">
  <autoFilter ref="A1:F11" xr:uid="{E2051B5F-CB66-418D-9899-CE425984C4A4}"/>
  <tableColumns count="6">
    <tableColumn id="1" xr3:uid="{D06A350B-BB7D-46A1-AC32-7D60A776C008}" uniqueName="1" name="Unit" queryTableFieldId="1"/>
    <tableColumn id="2" xr3:uid="{9464D55E-8DC3-449D-AE9A-9E96615FCD31}" uniqueName="2" name="𝑃_{𝑖}^{𝑙} (kW)" queryTableFieldId="2"/>
    <tableColumn id="3" xr3:uid="{6CD77299-6C4E-49A0-9508-7A42D1A33533}" uniqueName="3" name="𝑃_{𝑖}^{𝑢} (kW)" queryTableFieldId="3"/>
    <tableColumn id="4" xr3:uid="{56307C4C-4CB1-4990-BEE9-65B4B19DF3AE}" uniqueName="4" name="𝑟^{∗} (kW)" queryTableFieldId="4"/>
    <tableColumn id="5" xr3:uid="{3F6D4EB4-D58C-4EA4-80EE-7F7A7C408852}" uniqueName="5" name="𝑝^{∗} (kW)" queryTableFieldId="5"/>
    <tableColumn id="6" xr3:uid="{E820105A-F216-432E-9F44-1F2A47A90FA1}" uniqueName="6" name="Location_x000a_(Node.)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179C69-D736-4070-943F-3623EF5DE7E2}" name="Table004__Page_2" displayName="Table004__Page_2" ref="A1:E47" tableType="queryTable" totalsRowShown="0">
  <autoFilter ref="A1:E47" xr:uid="{2B179C69-D736-4070-943F-3623EF5DE7E2}"/>
  <tableColumns count="5">
    <tableColumn id="1" xr3:uid="{C6691E9B-8952-4C4B-B9A0-C2DDBD2D0F02}" uniqueName="1" name="To" queryTableFieldId="1"/>
    <tableColumn id="2" xr3:uid="{B24E26E5-5FAF-42FD-BFD3-29845FC0D685}" uniqueName="2" name="From" queryTableFieldId="2"/>
    <tableColumn id="3" xr3:uid="{B952F3B6-BE31-4533-A811-8E7E462B562F}" uniqueName="3" name="𝑋" queryTableFieldId="3"/>
    <tableColumn id="4" xr3:uid="{0F2CEAEA-D834-466E-9DFD-60E35B382655}" uniqueName="4" name="𝐹_{𝑙}" queryTableFieldId="4"/>
    <tableColumn id="5" xr3:uid="{069704BF-258E-4687-9254-6EC162CA8B2E}" uniqueName="5" name="Fixed demand at_x000a_from-node (kW)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5052-FC4C-43ED-A6FF-66E4139BE37D}">
  <dimension ref="A1:F11"/>
  <sheetViews>
    <sheetView tabSelected="1" workbookViewId="0">
      <selection activeCell="D15" sqref="D15"/>
    </sheetView>
  </sheetViews>
  <sheetFormatPr defaultRowHeight="15" x14ac:dyDescent="0.25"/>
  <cols>
    <col min="1" max="1" width="7.140625" bestFit="1" customWidth="1"/>
    <col min="2" max="2" width="16.28515625" bestFit="1" customWidth="1"/>
    <col min="3" max="3" width="16.85546875" bestFit="1" customWidth="1"/>
    <col min="4" max="4" width="12.85546875" bestFit="1" customWidth="1"/>
    <col min="5" max="5" width="13" bestFit="1" customWidth="1"/>
    <col min="6" max="6" width="1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260</v>
      </c>
      <c r="D2">
        <v>175</v>
      </c>
      <c r="E2">
        <v>25</v>
      </c>
      <c r="F2">
        <v>30</v>
      </c>
    </row>
    <row r="3" spans="1:6" x14ac:dyDescent="0.25">
      <c r="A3">
        <v>2</v>
      </c>
      <c r="B3">
        <v>0</v>
      </c>
      <c r="C3">
        <v>161.5</v>
      </c>
      <c r="D3">
        <v>175</v>
      </c>
      <c r="E3">
        <v>25</v>
      </c>
      <c r="F3">
        <v>31</v>
      </c>
    </row>
    <row r="4" spans="1:6" x14ac:dyDescent="0.25">
      <c r="A4">
        <v>3</v>
      </c>
      <c r="B4">
        <v>0</v>
      </c>
      <c r="C4">
        <v>181.25</v>
      </c>
      <c r="D4">
        <v>175</v>
      </c>
      <c r="E4">
        <v>25</v>
      </c>
      <c r="F4">
        <v>32</v>
      </c>
    </row>
    <row r="5" spans="1:6" x14ac:dyDescent="0.25">
      <c r="A5">
        <v>4</v>
      </c>
      <c r="B5">
        <v>0</v>
      </c>
      <c r="C5">
        <v>163</v>
      </c>
      <c r="D5">
        <v>175</v>
      </c>
      <c r="E5">
        <v>25</v>
      </c>
      <c r="F5">
        <v>33</v>
      </c>
    </row>
    <row r="6" spans="1:6" x14ac:dyDescent="0.25">
      <c r="A6">
        <v>5</v>
      </c>
      <c r="B6">
        <v>0</v>
      </c>
      <c r="C6">
        <v>127</v>
      </c>
      <c r="D6">
        <v>175</v>
      </c>
      <c r="E6">
        <v>25</v>
      </c>
      <c r="F6">
        <v>34</v>
      </c>
    </row>
    <row r="7" spans="1:6" x14ac:dyDescent="0.25">
      <c r="A7">
        <v>6</v>
      </c>
      <c r="B7">
        <v>0</v>
      </c>
      <c r="C7">
        <v>171.75</v>
      </c>
      <c r="D7">
        <v>175</v>
      </c>
      <c r="E7">
        <v>25</v>
      </c>
      <c r="F7">
        <v>35</v>
      </c>
    </row>
    <row r="8" spans="1:6" x14ac:dyDescent="0.25">
      <c r="A8">
        <v>7</v>
      </c>
      <c r="B8">
        <v>0</v>
      </c>
      <c r="C8">
        <v>145</v>
      </c>
      <c r="D8">
        <v>0</v>
      </c>
      <c r="E8">
        <v>25</v>
      </c>
      <c r="F8">
        <v>36</v>
      </c>
    </row>
    <row r="9" spans="1:6" x14ac:dyDescent="0.25">
      <c r="A9">
        <v>8</v>
      </c>
      <c r="B9">
        <v>0</v>
      </c>
      <c r="C9">
        <v>141</v>
      </c>
      <c r="D9">
        <v>0</v>
      </c>
      <c r="E9">
        <v>25</v>
      </c>
      <c r="F9">
        <v>37</v>
      </c>
    </row>
    <row r="10" spans="1:6" x14ac:dyDescent="0.25">
      <c r="A10">
        <v>9</v>
      </c>
      <c r="B10">
        <v>0</v>
      </c>
      <c r="C10">
        <v>216.25</v>
      </c>
      <c r="D10">
        <v>0</v>
      </c>
      <c r="E10">
        <v>25</v>
      </c>
      <c r="F10">
        <v>38</v>
      </c>
    </row>
    <row r="11" spans="1:6" x14ac:dyDescent="0.25">
      <c r="A11">
        <v>10</v>
      </c>
      <c r="B11">
        <v>0</v>
      </c>
      <c r="C11">
        <v>275</v>
      </c>
      <c r="D11">
        <v>0</v>
      </c>
      <c r="E11">
        <v>25</v>
      </c>
      <c r="F11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48C9-62A5-4A30-95D4-DC76BB03FC82}">
  <dimension ref="A1:E47"/>
  <sheetViews>
    <sheetView workbookViewId="0">
      <selection activeCell="E1" sqref="E1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7" bestFit="1" customWidth="1"/>
    <col min="4" max="4" width="8" bestFit="1" customWidth="1"/>
    <col min="5" max="5" width="26.28515625" style="1" customWidth="1"/>
  </cols>
  <sheetData>
    <row r="1" spans="1:5" ht="30" x14ac:dyDescent="0.25">
      <c r="A1" t="s">
        <v>6</v>
      </c>
      <c r="B1" t="s">
        <v>7</v>
      </c>
      <c r="C1" t="s">
        <v>8</v>
      </c>
      <c r="D1" t="s">
        <v>9</v>
      </c>
      <c r="E1" s="2" t="s">
        <v>10</v>
      </c>
    </row>
    <row r="2" spans="1:5" x14ac:dyDescent="0.25">
      <c r="A2">
        <v>1</v>
      </c>
      <c r="B2">
        <v>2</v>
      </c>
      <c r="C2">
        <v>4.1099999999999998E-2</v>
      </c>
      <c r="D2">
        <v>1000</v>
      </c>
      <c r="E2" s="1">
        <v>14.63</v>
      </c>
    </row>
    <row r="3" spans="1:5" x14ac:dyDescent="0.25">
      <c r="A3">
        <v>1</v>
      </c>
      <c r="B3">
        <v>39</v>
      </c>
      <c r="C3">
        <v>2.5000000000000001E-2</v>
      </c>
      <c r="D3">
        <v>1000</v>
      </c>
      <c r="E3" s="1">
        <v>0</v>
      </c>
    </row>
    <row r="4" spans="1:5" x14ac:dyDescent="0.25">
      <c r="A4">
        <v>2</v>
      </c>
      <c r="B4">
        <v>3</v>
      </c>
      <c r="C4">
        <v>1.5100000000000001E-2</v>
      </c>
      <c r="D4">
        <v>1000</v>
      </c>
      <c r="E4" s="1">
        <v>0</v>
      </c>
    </row>
    <row r="5" spans="1:5" x14ac:dyDescent="0.25">
      <c r="A5">
        <v>2</v>
      </c>
      <c r="B5">
        <v>25</v>
      </c>
      <c r="C5">
        <v>8.6E-3</v>
      </c>
      <c r="D5">
        <v>1000</v>
      </c>
      <c r="E5" s="1">
        <v>0</v>
      </c>
    </row>
    <row r="6" spans="1:5" x14ac:dyDescent="0.25">
      <c r="A6">
        <v>3</v>
      </c>
      <c r="B6">
        <v>4</v>
      </c>
      <c r="C6">
        <v>2.1299999999999999E-2</v>
      </c>
      <c r="D6">
        <v>1000</v>
      </c>
      <c r="E6" s="1">
        <v>48.3</v>
      </c>
    </row>
    <row r="7" spans="1:5" x14ac:dyDescent="0.25">
      <c r="A7">
        <v>3</v>
      </c>
      <c r="B7">
        <v>18</v>
      </c>
      <c r="C7">
        <v>1.3299999999999999E-2</v>
      </c>
      <c r="D7">
        <v>1000</v>
      </c>
      <c r="E7" s="1">
        <v>0</v>
      </c>
    </row>
    <row r="8" spans="1:5" x14ac:dyDescent="0.25">
      <c r="A8">
        <v>4</v>
      </c>
      <c r="B8">
        <v>5</v>
      </c>
      <c r="C8">
        <v>1.2800000000000001E-2</v>
      </c>
      <c r="D8">
        <v>1000</v>
      </c>
      <c r="E8" s="1">
        <v>75</v>
      </c>
    </row>
    <row r="9" spans="1:5" x14ac:dyDescent="0.25">
      <c r="A9">
        <v>4</v>
      </c>
      <c r="B9">
        <v>14</v>
      </c>
      <c r="C9">
        <v>1.29E-2</v>
      </c>
      <c r="D9">
        <v>1000</v>
      </c>
      <c r="E9" s="1">
        <v>0</v>
      </c>
    </row>
    <row r="10" spans="1:5" x14ac:dyDescent="0.25">
      <c r="A10">
        <v>5</v>
      </c>
      <c r="B10">
        <v>6</v>
      </c>
      <c r="C10">
        <v>2.5999999999999999E-3</v>
      </c>
      <c r="D10">
        <v>1000</v>
      </c>
      <c r="E10" s="1">
        <v>0</v>
      </c>
    </row>
    <row r="11" spans="1:5" x14ac:dyDescent="0.25">
      <c r="A11">
        <v>5</v>
      </c>
      <c r="B11">
        <v>8</v>
      </c>
      <c r="C11">
        <v>1.12E-2</v>
      </c>
      <c r="D11">
        <v>1000</v>
      </c>
      <c r="E11" s="1">
        <v>0</v>
      </c>
    </row>
    <row r="12" spans="1:5" x14ac:dyDescent="0.25">
      <c r="A12">
        <v>6</v>
      </c>
      <c r="B12">
        <v>7</v>
      </c>
      <c r="C12">
        <v>9.1999999999999998E-3</v>
      </c>
      <c r="D12">
        <v>1000</v>
      </c>
      <c r="E12" s="1">
        <v>0</v>
      </c>
    </row>
    <row r="13" spans="1:5" x14ac:dyDescent="0.25">
      <c r="A13">
        <v>6</v>
      </c>
      <c r="B13">
        <v>11</v>
      </c>
      <c r="C13">
        <v>8.2000000000000007E-3</v>
      </c>
      <c r="D13">
        <v>1000</v>
      </c>
      <c r="E13" s="1">
        <v>0</v>
      </c>
    </row>
    <row r="14" spans="1:5" x14ac:dyDescent="0.25">
      <c r="A14">
        <v>7</v>
      </c>
      <c r="B14">
        <v>8</v>
      </c>
      <c r="C14">
        <v>4.5999999999999999E-3</v>
      </c>
      <c r="D14">
        <v>1000</v>
      </c>
      <c r="E14" s="1">
        <v>35.07</v>
      </c>
    </row>
    <row r="15" spans="1:5" x14ac:dyDescent="0.25">
      <c r="A15">
        <v>8</v>
      </c>
      <c r="B15">
        <v>9</v>
      </c>
      <c r="C15">
        <v>3.6299999999999999E-2</v>
      </c>
      <c r="D15">
        <v>1000</v>
      </c>
      <c r="E15" s="1">
        <v>78.3</v>
      </c>
    </row>
    <row r="16" spans="1:5" x14ac:dyDescent="0.25">
      <c r="A16">
        <v>9</v>
      </c>
      <c r="B16">
        <v>39</v>
      </c>
      <c r="C16">
        <v>2.5000000000000001E-2</v>
      </c>
      <c r="D16">
        <v>1000</v>
      </c>
      <c r="E16" s="1">
        <v>0.97499999999999998</v>
      </c>
    </row>
    <row r="17" spans="1:5" x14ac:dyDescent="0.25">
      <c r="A17">
        <v>10</v>
      </c>
      <c r="B17">
        <v>11</v>
      </c>
      <c r="C17">
        <v>4.3E-3</v>
      </c>
      <c r="D17">
        <v>1000</v>
      </c>
      <c r="E17" s="1">
        <v>0</v>
      </c>
    </row>
    <row r="18" spans="1:5" x14ac:dyDescent="0.25">
      <c r="A18">
        <v>10</v>
      </c>
      <c r="B18">
        <v>13</v>
      </c>
      <c r="C18">
        <v>4.3E-3</v>
      </c>
      <c r="D18">
        <v>1000</v>
      </c>
      <c r="E18" s="1">
        <v>0</v>
      </c>
    </row>
    <row r="19" spans="1:5" x14ac:dyDescent="0.25">
      <c r="A19">
        <v>13</v>
      </c>
      <c r="B19">
        <v>14</v>
      </c>
      <c r="C19">
        <v>1.01E-2</v>
      </c>
      <c r="D19">
        <v>1000</v>
      </c>
      <c r="E19" s="1">
        <v>0</v>
      </c>
    </row>
    <row r="20" spans="1:5" x14ac:dyDescent="0.25">
      <c r="A20">
        <v>14</v>
      </c>
      <c r="B20">
        <v>15</v>
      </c>
      <c r="C20">
        <v>2.1700000000000001E-2</v>
      </c>
      <c r="D20">
        <v>1000</v>
      </c>
      <c r="E20" s="1">
        <v>0</v>
      </c>
    </row>
    <row r="21" spans="1:5" x14ac:dyDescent="0.25">
      <c r="A21">
        <v>15</v>
      </c>
      <c r="B21">
        <v>16</v>
      </c>
      <c r="C21">
        <v>9.4000000000000004E-3</v>
      </c>
      <c r="D21">
        <v>1000</v>
      </c>
      <c r="E21" s="1">
        <v>48</v>
      </c>
    </row>
    <row r="22" spans="1:5" x14ac:dyDescent="0.25">
      <c r="A22">
        <v>16</v>
      </c>
      <c r="B22">
        <v>17</v>
      </c>
      <c r="C22">
        <v>8.8999999999999999E-3</v>
      </c>
      <c r="D22">
        <v>1000</v>
      </c>
      <c r="E22" s="1">
        <v>49.35</v>
      </c>
    </row>
    <row r="23" spans="1:5" x14ac:dyDescent="0.25">
      <c r="A23">
        <v>16</v>
      </c>
      <c r="B23">
        <v>19</v>
      </c>
      <c r="C23">
        <v>1.95E-2</v>
      </c>
      <c r="D23">
        <v>1000</v>
      </c>
      <c r="E23" s="1">
        <v>0</v>
      </c>
    </row>
    <row r="24" spans="1:5" x14ac:dyDescent="0.25">
      <c r="A24">
        <v>16</v>
      </c>
      <c r="B24">
        <v>21</v>
      </c>
      <c r="C24">
        <v>1.35E-2</v>
      </c>
      <c r="D24">
        <v>1000</v>
      </c>
      <c r="E24" s="1">
        <v>0</v>
      </c>
    </row>
    <row r="25" spans="1:5" x14ac:dyDescent="0.25">
      <c r="A25">
        <v>16</v>
      </c>
      <c r="B25">
        <v>24</v>
      </c>
      <c r="C25">
        <v>5.8999999999999999E-3</v>
      </c>
      <c r="D25">
        <v>1000</v>
      </c>
      <c r="E25" s="1">
        <v>0</v>
      </c>
    </row>
    <row r="26" spans="1:5" x14ac:dyDescent="0.25">
      <c r="A26">
        <v>17</v>
      </c>
      <c r="B26">
        <v>18</v>
      </c>
      <c r="C26">
        <v>8.2000000000000007E-3</v>
      </c>
      <c r="D26">
        <v>1000</v>
      </c>
      <c r="E26" s="1">
        <v>0</v>
      </c>
    </row>
    <row r="27" spans="1:5" x14ac:dyDescent="0.25">
      <c r="A27">
        <v>17</v>
      </c>
      <c r="B27">
        <v>27</v>
      </c>
      <c r="C27">
        <v>1.7299999999999999E-2</v>
      </c>
      <c r="D27">
        <v>1000</v>
      </c>
      <c r="E27" s="1">
        <v>0</v>
      </c>
    </row>
    <row r="28" spans="1:5" x14ac:dyDescent="0.25">
      <c r="A28">
        <v>21</v>
      </c>
      <c r="B28">
        <v>22</v>
      </c>
      <c r="C28">
        <v>1.4E-2</v>
      </c>
      <c r="D28">
        <v>1000</v>
      </c>
      <c r="E28" s="1">
        <v>41.4</v>
      </c>
    </row>
    <row r="29" spans="1:5" x14ac:dyDescent="0.25">
      <c r="A29">
        <v>22</v>
      </c>
      <c r="B29">
        <v>23</v>
      </c>
      <c r="C29">
        <v>9.5999999999999992E-3</v>
      </c>
      <c r="D29">
        <v>1000</v>
      </c>
      <c r="E29" s="1">
        <v>0</v>
      </c>
    </row>
    <row r="30" spans="1:5" x14ac:dyDescent="0.25">
      <c r="A30">
        <v>23</v>
      </c>
      <c r="B30">
        <v>24</v>
      </c>
      <c r="C30">
        <v>3.5000000000000003E-2</v>
      </c>
      <c r="D30">
        <v>1000</v>
      </c>
      <c r="E30" s="1">
        <v>37.125</v>
      </c>
    </row>
    <row r="31" spans="1:5" x14ac:dyDescent="0.25">
      <c r="A31">
        <v>25</v>
      </c>
      <c r="B31">
        <v>26</v>
      </c>
      <c r="C31">
        <v>3.2300000000000002E-2</v>
      </c>
      <c r="D31">
        <v>1000</v>
      </c>
      <c r="E31" s="1">
        <v>33.6</v>
      </c>
    </row>
    <row r="32" spans="1:5" x14ac:dyDescent="0.25">
      <c r="A32">
        <v>26</v>
      </c>
      <c r="B32">
        <v>27</v>
      </c>
      <c r="C32">
        <v>1.47E-2</v>
      </c>
      <c r="D32">
        <v>1000</v>
      </c>
      <c r="E32" s="1">
        <v>20.85</v>
      </c>
    </row>
    <row r="33" spans="1:5" x14ac:dyDescent="0.25">
      <c r="A33">
        <v>26</v>
      </c>
      <c r="B33">
        <v>28</v>
      </c>
      <c r="C33">
        <v>4.7399999999999998E-2</v>
      </c>
      <c r="D33">
        <v>1000</v>
      </c>
      <c r="E33" s="1">
        <v>0</v>
      </c>
    </row>
    <row r="34" spans="1:5" x14ac:dyDescent="0.25">
      <c r="A34">
        <v>26</v>
      </c>
      <c r="B34">
        <v>29</v>
      </c>
      <c r="C34">
        <v>6.25E-2</v>
      </c>
      <c r="D34">
        <v>1000</v>
      </c>
      <c r="E34" s="1">
        <v>0</v>
      </c>
    </row>
    <row r="35" spans="1:5" x14ac:dyDescent="0.25">
      <c r="A35">
        <v>28</v>
      </c>
      <c r="B35">
        <v>29</v>
      </c>
      <c r="C35">
        <v>1.5100000000000001E-2</v>
      </c>
      <c r="D35">
        <v>1000</v>
      </c>
      <c r="E35" s="1">
        <v>30.9</v>
      </c>
    </row>
    <row r="36" spans="1:5" x14ac:dyDescent="0.25">
      <c r="A36">
        <v>11</v>
      </c>
      <c r="B36">
        <v>12</v>
      </c>
      <c r="C36">
        <v>4.3499999999999997E-2</v>
      </c>
      <c r="D36">
        <v>1000</v>
      </c>
      <c r="E36" s="1">
        <v>0</v>
      </c>
    </row>
    <row r="37" spans="1:5" x14ac:dyDescent="0.25">
      <c r="A37">
        <v>13</v>
      </c>
      <c r="B37">
        <v>12</v>
      </c>
      <c r="C37">
        <v>4.3499999999999997E-2</v>
      </c>
      <c r="D37">
        <v>1000</v>
      </c>
      <c r="E37" s="1">
        <v>0</v>
      </c>
    </row>
    <row r="38" spans="1:5" x14ac:dyDescent="0.25">
      <c r="A38">
        <v>6</v>
      </c>
      <c r="B38">
        <v>31</v>
      </c>
      <c r="C38">
        <v>2.5000000000000001E-2</v>
      </c>
      <c r="D38">
        <v>1000</v>
      </c>
      <c r="E38" s="1">
        <v>0</v>
      </c>
    </row>
    <row r="39" spans="1:5" x14ac:dyDescent="0.25">
      <c r="A39">
        <v>32</v>
      </c>
      <c r="B39">
        <v>10</v>
      </c>
      <c r="C39">
        <v>0.02</v>
      </c>
      <c r="D39">
        <v>1000</v>
      </c>
      <c r="E39" s="1">
        <v>0</v>
      </c>
    </row>
    <row r="40" spans="1:5" x14ac:dyDescent="0.25">
      <c r="A40">
        <v>33</v>
      </c>
      <c r="B40">
        <v>19</v>
      </c>
      <c r="C40">
        <v>1.4200000000000001E-2</v>
      </c>
      <c r="D40">
        <v>1000</v>
      </c>
      <c r="E40" s="1">
        <v>0</v>
      </c>
    </row>
    <row r="41" spans="1:5" x14ac:dyDescent="0.25">
      <c r="A41">
        <v>34</v>
      </c>
      <c r="B41">
        <v>20</v>
      </c>
      <c r="C41">
        <v>1.7999999999999999E-2</v>
      </c>
      <c r="D41">
        <v>1000</v>
      </c>
      <c r="E41" s="1">
        <v>0</v>
      </c>
    </row>
    <row r="42" spans="1:5" x14ac:dyDescent="0.25">
      <c r="A42">
        <v>35</v>
      </c>
      <c r="B42">
        <v>22</v>
      </c>
      <c r="C42">
        <v>1.43E-2</v>
      </c>
      <c r="D42">
        <v>1000</v>
      </c>
      <c r="E42" s="1">
        <v>0</v>
      </c>
    </row>
    <row r="43" spans="1:5" x14ac:dyDescent="0.25">
      <c r="A43">
        <v>36</v>
      </c>
      <c r="B43">
        <v>23</v>
      </c>
      <c r="C43">
        <v>2.7199999999999998E-2</v>
      </c>
      <c r="D43">
        <v>1000</v>
      </c>
      <c r="E43" s="1">
        <v>0</v>
      </c>
    </row>
    <row r="44" spans="1:5" x14ac:dyDescent="0.25">
      <c r="A44">
        <v>37</v>
      </c>
      <c r="B44">
        <v>25</v>
      </c>
      <c r="C44">
        <v>2.3199999999999998E-2</v>
      </c>
      <c r="D44">
        <v>1000</v>
      </c>
      <c r="E44" s="1">
        <v>0</v>
      </c>
    </row>
    <row r="45" spans="1:5" x14ac:dyDescent="0.25">
      <c r="A45">
        <v>30</v>
      </c>
      <c r="B45">
        <v>2</v>
      </c>
      <c r="C45">
        <v>1.8100000000000002E-2</v>
      </c>
      <c r="D45">
        <v>1000</v>
      </c>
      <c r="E45" s="1">
        <v>0</v>
      </c>
    </row>
    <row r="46" spans="1:5" x14ac:dyDescent="0.25">
      <c r="A46">
        <v>38</v>
      </c>
      <c r="B46">
        <v>29</v>
      </c>
      <c r="C46">
        <v>1.5599999999999999E-2</v>
      </c>
      <c r="D46">
        <v>1000</v>
      </c>
      <c r="E46" s="1">
        <v>0</v>
      </c>
    </row>
    <row r="47" spans="1:5" x14ac:dyDescent="0.25">
      <c r="A47">
        <v>20</v>
      </c>
      <c r="B47">
        <v>19</v>
      </c>
      <c r="C47">
        <v>1.38E-2</v>
      </c>
      <c r="D47">
        <v>1000</v>
      </c>
      <c r="E47" s="1">
        <v>102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1D56B-23FB-4D91-9854-19D22F2B4373}">
  <dimension ref="A1:F6"/>
  <sheetViews>
    <sheetView workbookViewId="0">
      <selection activeCell="C11" sqref="C11"/>
    </sheetView>
  </sheetViews>
  <sheetFormatPr defaultRowHeight="15" x14ac:dyDescent="0.25"/>
  <cols>
    <col min="3" max="3" width="18.28515625" customWidth="1"/>
    <col min="4" max="4" width="16.140625" customWidth="1"/>
    <col min="5" max="5" width="18.85546875" customWidth="1"/>
    <col min="6" max="6" width="17.42578125" customWidth="1"/>
  </cols>
  <sheetData>
    <row r="1" spans="1:6" s="3" customFormat="1" x14ac:dyDescent="0.25">
      <c r="A1" s="3" t="s">
        <v>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spans="1:6" x14ac:dyDescent="0.25">
      <c r="A2">
        <v>1</v>
      </c>
      <c r="B2">
        <v>3</v>
      </c>
      <c r="C2">
        <v>1</v>
      </c>
      <c r="D2">
        <f>(E2+F2)/2</f>
        <v>165.5</v>
      </c>
      <c r="E2">
        <v>0</v>
      </c>
      <c r="F2">
        <v>331</v>
      </c>
    </row>
    <row r="3" spans="1:6" x14ac:dyDescent="0.25">
      <c r="A3">
        <v>2</v>
      </c>
      <c r="B3">
        <v>15</v>
      </c>
      <c r="C3">
        <v>1</v>
      </c>
      <c r="D3">
        <f>(E3+F3)/2</f>
        <v>75</v>
      </c>
      <c r="E3">
        <v>0</v>
      </c>
      <c r="F3">
        <v>150</v>
      </c>
    </row>
    <row r="4" spans="1:6" x14ac:dyDescent="0.25">
      <c r="A4">
        <v>3</v>
      </c>
      <c r="B4">
        <v>33</v>
      </c>
      <c r="C4">
        <v>1</v>
      </c>
      <c r="D4">
        <f>(E4+F4)/2</f>
        <v>62.5</v>
      </c>
      <c r="E4">
        <v>0</v>
      </c>
      <c r="F4">
        <v>125</v>
      </c>
    </row>
    <row r="5" spans="1:6" x14ac:dyDescent="0.25">
      <c r="A5">
        <v>4</v>
      </c>
      <c r="B5">
        <v>6</v>
      </c>
      <c r="C5">
        <v>1</v>
      </c>
      <c r="D5">
        <f t="shared" ref="D5:D6" si="0">(E5+F5)/2</f>
        <v>50</v>
      </c>
      <c r="E5">
        <v>0</v>
      </c>
      <c r="F5">
        <v>100</v>
      </c>
    </row>
    <row r="6" spans="1:6" x14ac:dyDescent="0.25">
      <c r="A6">
        <v>5</v>
      </c>
      <c r="B6">
        <v>20</v>
      </c>
      <c r="C6">
        <v>1</v>
      </c>
      <c r="D6">
        <f t="shared" si="0"/>
        <v>12.5</v>
      </c>
      <c r="E6">
        <v>0</v>
      </c>
      <c r="F6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94F7A1-6CA9-4389-8563-A8BB74FA04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generators</vt:lpstr>
      <vt:lpstr>system</vt:lpstr>
      <vt:lpstr>renewables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2026-02-18T03:21:12Z</dcterms:modified>
</cp:coreProperties>
</file>