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an024\Desktop\CCG-RODDU\DesignForFlexibility\"/>
    </mc:Choice>
  </mc:AlternateContent>
  <xr:revisionPtr revIDLastSave="0" documentId="13_ncr:1_{F91C27B7-A808-4CFD-AC5A-1C45ED2B4C9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tream data" sheetId="6" r:id="rId1"/>
    <sheet name="Design parameters" sheetId="4" r:id="rId2"/>
    <sheet name="Scheduling parameters" sheetId="7" r:id="rId3"/>
    <sheet name="Calcula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C2" i="7"/>
  <c r="K4" i="5"/>
  <c r="J15" i="5" s="1"/>
  <c r="J26" i="5" s="1"/>
  <c r="M15" i="5"/>
  <c r="M26" i="5" s="1"/>
  <c r="L15" i="5"/>
  <c r="L26" i="5" s="1"/>
  <c r="M4" i="5"/>
  <c r="I2" i="4"/>
  <c r="H2" i="4"/>
  <c r="D15" i="5"/>
  <c r="D26" i="5" s="1"/>
  <c r="E4" i="5"/>
  <c r="E15" i="5" s="1"/>
  <c r="E26" i="5" s="1"/>
  <c r="D4" i="5"/>
  <c r="C4" i="5"/>
  <c r="C15" i="5" s="1"/>
  <c r="C26" i="5" s="1"/>
  <c r="B4" i="5"/>
  <c r="B15" i="5" s="1"/>
  <c r="B26" i="5" s="1"/>
  <c r="F5" i="6"/>
  <c r="E5" i="6"/>
  <c r="D5" i="6"/>
  <c r="C5" i="6"/>
  <c r="B4" i="6"/>
  <c r="B5" i="6" s="1"/>
  <c r="L37" i="5" l="1"/>
  <c r="N13" i="4" s="1"/>
  <c r="E37" i="5"/>
  <c r="G13" i="4" s="1"/>
  <c r="D37" i="5"/>
  <c r="F13" i="4" s="1"/>
  <c r="C37" i="5"/>
  <c r="E13" i="4" s="1"/>
  <c r="B37" i="5"/>
  <c r="D13" i="4" s="1"/>
  <c r="M37" i="5"/>
  <c r="O13" i="4" s="1"/>
  <c r="K15" i="5"/>
  <c r="K26" i="5" s="1"/>
  <c r="J37" i="5" s="1"/>
  <c r="L13" i="4" s="1"/>
  <c r="K37" i="5" l="1"/>
  <c r="M13" i="4" s="1"/>
</calcChain>
</file>

<file path=xl/sharedStrings.xml><?xml version="1.0" encoding="utf-8"?>
<sst xmlns="http://schemas.openxmlformats.org/spreadsheetml/2006/main" count="87" uniqueCount="68">
  <si>
    <t>C1</t>
  </si>
  <si>
    <t>C2</t>
  </si>
  <si>
    <t>C3</t>
  </si>
  <si>
    <t>C4</t>
  </si>
  <si>
    <t>C5</t>
  </si>
  <si>
    <t>C6</t>
  </si>
  <si>
    <t>Pressure (bar)</t>
  </si>
  <si>
    <t>Density (kg/m3)</t>
  </si>
  <si>
    <t>Temperature (K)</t>
  </si>
  <si>
    <t>Stream ID -&gt;</t>
  </si>
  <si>
    <t>CO2 emissions per 
kWh (lbs)</t>
  </si>
  <si>
    <t>Size of power 
generator (MWh)</t>
  </si>
  <si>
    <t>Min. cost
(M$ in 2023)</t>
  </si>
  <si>
    <t>Max. cost
(M$ in 2023)</t>
  </si>
  <si>
    <t xml:space="preserve">Discount rate </t>
  </si>
  <si>
    <t>Life span (yrs)</t>
  </si>
  <si>
    <t>No. of hours between output</t>
  </si>
  <si>
    <t>Combination</t>
  </si>
  <si>
    <t># materials</t>
  </si>
  <si>
    <t># processes</t>
  </si>
  <si>
    <t>Min. size for
tank 3
(tonnes)</t>
  </si>
  <si>
    <t>Min. size for
tank 2
(tonnes)</t>
  </si>
  <si>
    <t>Max. size 
for tank 1
(tonnes)</t>
  </si>
  <si>
    <t>Max. size 
for tank 2
(tonnes)</t>
  </si>
  <si>
    <t>Max. size 
for tank 3
(tonnes)</t>
  </si>
  <si>
    <t>Min. size for tank 1
(tonnes)</t>
  </si>
  <si>
    <t>Adjusted fixed cost for tank 1 ($)</t>
  </si>
  <si>
    <t>Adjusted unit cost for tank 1 ($/t)</t>
  </si>
  <si>
    <t>Adjusted fixed cost for tank 2 ($)</t>
  </si>
  <si>
    <t>Adjusted unit cost for tank 2 ($/t)</t>
  </si>
  <si>
    <t>Adjusted unit cost for tank 3 ($/t)</t>
  </si>
  <si>
    <t>Adjusted fixed cost for tank 3 ($)</t>
  </si>
  <si>
    <t>Unit consumption in compressor for this input (MWh/t)</t>
  </si>
  <si>
    <t>Design calculations</t>
  </si>
  <si>
    <t>Min. volume of tank 1 (*1000 m3)</t>
  </si>
  <si>
    <t>Max. volume of tank 1 (*1000 m3)</t>
  </si>
  <si>
    <t>Min. volume of tank 2 (*1000 m3)</t>
  </si>
  <si>
    <t>Max. volume of tank 2 (*1000 m3)</t>
  </si>
  <si>
    <t>Min. volume of tank 3 (*1000 m3)</t>
  </si>
  <si>
    <t>Max. volume of tank 3 (*1000 m3)</t>
  </si>
  <si>
    <t>Min. diameter (ft)</t>
  </si>
  <si>
    <t>Max. diameter (ft)</t>
  </si>
  <si>
    <t>big-M</t>
  </si>
  <si>
    <t>Min. cost ($ in 2023)</t>
  </si>
  <si>
    <t>Max. cost ($ in 2023)</t>
  </si>
  <si>
    <t>Fixed cost ($)</t>
  </si>
  <si>
    <t>Unit cost ($/t)</t>
  </si>
  <si>
    <t>Min. size for compressor 1 (t/h)</t>
  </si>
  <si>
    <t>Max. size for compressor 1 (t/h)</t>
  </si>
  <si>
    <t>Min. size for compressor 2 (t/h)</t>
  </si>
  <si>
    <t>Max. size for compressor 2 (t/h)</t>
  </si>
  <si>
    <t>Adjusted fixed cost for compressor 1 ($)</t>
  </si>
  <si>
    <t>Adjusted unit cost for compressor 1 ($/t)</t>
  </si>
  <si>
    <t>Min. capacity of compressor 1 (hp)</t>
  </si>
  <si>
    <t>Max. capacity of compressor 1 (hp)</t>
  </si>
  <si>
    <t>Min. capacity of compressor 2 (hp)</t>
  </si>
  <si>
    <t>Max. capacity of compressor 2 (hp)</t>
  </si>
  <si>
    <t>Electricity consumption (MWh/t)</t>
  </si>
  <si>
    <t>Fixed electricity consumption for compressor 1 (MWh)</t>
  </si>
  <si>
    <t>Variable electricity consumption for compressor 1 (MWh/t)</t>
  </si>
  <si>
    <t>Fixed electricity consumption for compressor 2 (MWh)</t>
  </si>
  <si>
    <t>Variable electricity consumption for compressor 2 (MWh/t)</t>
  </si>
  <si>
    <t>Initial inventory for tank 1 (tonnes)</t>
  </si>
  <si>
    <t>Initial inventory for tank 3 (tonnes)</t>
  </si>
  <si>
    <t>Initial inventory for tank 2 (tonnes)</t>
  </si>
  <si>
    <t>Input flowrate (t/h) every 2 hours</t>
  </si>
  <si>
    <t>Adjusted fixed cost for compressor 2 ($)</t>
  </si>
  <si>
    <t>Adjusted unit cost for compressor 2 ($/t)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</si>
</sst>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1" xfId="1" applyAlignment="1">
      <alignment wrapText="1"/>
    </xf>
    <xf numFmtId="0" fontId="2" fillId="2" borderId="1" xfId="1"/>
    <xf numFmtId="0" fontId="3" fillId="2" borderId="1" xfId="1" applyFont="1" applyAlignment="1">
      <alignment wrapText="1"/>
    </xf>
    <xf numFmtId="0" fontId="3" fillId="2" borderId="1" xfId="1" applyFont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0" fillId="4" borderId="0" xfId="0" applyFill="1"/>
  </cellXfs>
  <cellStyles count="2">
    <cellStyle name="Input" xfId="1" builtinId="20"/>
    <cellStyle name="Normal" xfId="0" builtinId="0"/>
  </cellStyles>
  <dxfs count="1"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2" defaultTableStyle="TableStyleMedium2" defaultPivotStyle="PivotStyleLight16">
    <tableStyle name="Table Style 1" pivot="0" count="0" xr9:uid="{4AB5AC9D-530C-4817-9FF1-661105746E2A}"/>
    <tableStyle name="Table Style 2" pivot="0" count="1" xr9:uid="{AB318272-CA66-40EC-9133-CDE77E54F673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685430</xdr:colOff>
      <xdr:row>6</xdr:row>
      <xdr:rowOff>180975</xdr:rowOff>
    </xdr:from>
    <xdr:to>
      <xdr:col>2</xdr:col>
      <xdr:colOff>257175</xdr:colOff>
      <xdr:row>9</xdr:row>
      <xdr:rowOff>66675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A8ADE1E-8972-7CBF-71F1-F0382859CC18}"/>
            </a:ext>
          </a:extLst>
        </xdr:cNvPr>
        <xdr:cNvSpPr/>
      </xdr:nvSpPr>
      <xdr:spPr>
        <a:xfrm>
          <a:off x="1876055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257714</xdr:colOff>
      <xdr:row>8</xdr:row>
      <xdr:rowOff>9525</xdr:rowOff>
    </xdr:from>
    <xdr:to>
      <xdr:col>1</xdr:col>
      <xdr:colOff>686429</xdr:colOff>
      <xdr:row>8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0E78456-CD72-8935-A254-1FBC479430B7}"/>
            </a:ext>
          </a:extLst>
        </xdr:cNvPr>
        <xdr:cNvCxnSpPr/>
      </xdr:nvCxnSpPr>
      <xdr:spPr>
        <a:xfrm>
          <a:off x="144833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278841</xdr:colOff>
      <xdr:row>8</xdr:row>
      <xdr:rowOff>0</xdr:rowOff>
    </xdr:from>
    <xdr:to>
      <xdr:col>6</xdr:col>
      <xdr:colOff>657226</xdr:colOff>
      <xdr:row>8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7A9B520-BA8A-230D-4505-D13F905A4600}"/>
            </a:ext>
          </a:extLst>
        </xdr:cNvPr>
        <xdr:cNvCxnSpPr/>
      </xdr:nvCxnSpPr>
      <xdr:spPr>
        <a:xfrm>
          <a:off x="5974791" y="2286000"/>
          <a:ext cx="37838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675905</xdr:colOff>
      <xdr:row>6</xdr:row>
      <xdr:rowOff>180975</xdr:rowOff>
    </xdr:from>
    <xdr:to>
      <xdr:col>3</xdr:col>
      <xdr:colOff>257175</xdr:colOff>
      <xdr:row>9</xdr:row>
      <xdr:rowOff>66675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898CA45-CC34-4E5E-BA2F-7C4BD167AC2E}"/>
            </a:ext>
          </a:extLst>
        </xdr:cNvPr>
        <xdr:cNvSpPr/>
      </xdr:nvSpPr>
      <xdr:spPr>
        <a:xfrm>
          <a:off x="2771405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248189</xdr:colOff>
      <xdr:row>8</xdr:row>
      <xdr:rowOff>9525</xdr:rowOff>
    </xdr:from>
    <xdr:to>
      <xdr:col>2</xdr:col>
      <xdr:colOff>676904</xdr:colOff>
      <xdr:row>8</xdr:row>
      <xdr:rowOff>9525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87D5CAF-A390-4118-A18D-A37EA50BE7BD}"/>
            </a:ext>
          </a:extLst>
        </xdr:cNvPr>
        <xdr:cNvCxnSpPr/>
      </xdr:nvCxnSpPr>
      <xdr:spPr>
        <a:xfrm>
          <a:off x="234368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666380</xdr:colOff>
      <xdr:row>6</xdr:row>
      <xdr:rowOff>161925</xdr:rowOff>
    </xdr:from>
    <xdr:to>
      <xdr:col>4</xdr:col>
      <xdr:colOff>247650</xdr:colOff>
      <xdr:row>9</xdr:row>
      <xdr:rowOff>47625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1FE7294-A206-441C-B6EE-D1102EA16AF3}"/>
            </a:ext>
          </a:extLst>
        </xdr:cNvPr>
        <xdr:cNvSpPr/>
      </xdr:nvSpPr>
      <xdr:spPr>
        <a:xfrm>
          <a:off x="3657230" y="206692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238664</xdr:colOff>
      <xdr:row>7</xdr:row>
      <xdr:rowOff>180975</xdr:rowOff>
    </xdr:from>
    <xdr:to>
      <xdr:col>3</xdr:col>
      <xdr:colOff>667379</xdr:colOff>
      <xdr:row>7</xdr:row>
      <xdr:rowOff>180975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E474F8-2918-4ABF-AD5A-783E4E10FD2B}"/>
            </a:ext>
          </a:extLst>
        </xdr:cNvPr>
        <xdr:cNvCxnSpPr/>
      </xdr:nvCxnSpPr>
      <xdr:spPr>
        <a:xfrm>
          <a:off x="3229514" y="227647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666380</xdr:colOff>
      <xdr:row>6</xdr:row>
      <xdr:rowOff>180975</xdr:rowOff>
    </xdr:from>
    <xdr:to>
      <xdr:col>5</xdr:col>
      <xdr:colOff>247650</xdr:colOff>
      <xdr:row>9</xdr:row>
      <xdr:rowOff>66675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E14BD5A-AEDE-4CC1-BE3B-A1EFA438389B}"/>
            </a:ext>
          </a:extLst>
        </xdr:cNvPr>
        <xdr:cNvSpPr/>
      </xdr:nvSpPr>
      <xdr:spPr>
        <a:xfrm>
          <a:off x="4552580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238664</xdr:colOff>
      <xdr:row>8</xdr:row>
      <xdr:rowOff>9525</xdr:rowOff>
    </xdr:from>
    <xdr:to>
      <xdr:col>4</xdr:col>
      <xdr:colOff>667379</xdr:colOff>
      <xdr:row>8</xdr:row>
      <xdr:rowOff>9525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341B1F9-3D52-41C1-97CE-5C40EE4A12A8}"/>
            </a:ext>
          </a:extLst>
        </xdr:cNvPr>
        <xdr:cNvCxnSpPr/>
      </xdr:nvCxnSpPr>
      <xdr:spPr>
        <a:xfrm>
          <a:off x="4124864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248189</xdr:colOff>
      <xdr:row>8</xdr:row>
      <xdr:rowOff>9525</xdr:rowOff>
    </xdr:from>
    <xdr:to>
      <xdr:col>5</xdr:col>
      <xdr:colOff>676904</xdr:colOff>
      <xdr:row>8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F35663D-5E6A-4C1E-8DA0-6C7D1AC91E92}"/>
            </a:ext>
          </a:extLst>
        </xdr:cNvPr>
        <xdr:cNvCxnSpPr/>
      </xdr:nvCxnSpPr>
      <xdr:spPr>
        <a:xfrm>
          <a:off x="502973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685430</xdr:colOff>
      <xdr:row>6</xdr:row>
      <xdr:rowOff>161925</xdr:rowOff>
    </xdr:from>
    <xdr:to>
      <xdr:col>6</xdr:col>
      <xdr:colOff>247650</xdr:colOff>
      <xdr:row>9</xdr:row>
      <xdr:rowOff>47625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B06F1A8-BBA7-4827-A25F-2F48DC4B7A2B}"/>
            </a:ext>
          </a:extLst>
        </xdr:cNvPr>
        <xdr:cNvSpPr/>
      </xdr:nvSpPr>
      <xdr:spPr>
        <a:xfrm>
          <a:off x="5466980" y="206692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E677-A35B-4500-BACE-78E8784D7D46}">
  <dimension ref="A1:G21"/>
  <sheetViews>
    <sheetView workbookViewId="0">
      <selection activeCell="B22" sqref="B22"/>
    </sheetView>
  </sheetViews>
  <sheetFormatPr defaultRowHeight="15" x14ac:dyDescent="0.25"/>
  <cols>
    <col min="1" max="1" width="17.85546875" customWidth="1"/>
    <col min="2" max="2" width="13.5703125" customWidth="1"/>
    <col min="3" max="5" width="13.42578125" customWidth="1"/>
    <col min="6" max="6" width="13.7109375" customWidth="1"/>
    <col min="7" max="7" width="16.42578125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1</v>
      </c>
      <c r="C2">
        <v>2.4</v>
      </c>
      <c r="D2">
        <v>5.8</v>
      </c>
      <c r="E2">
        <v>13.8</v>
      </c>
      <c r="F2">
        <v>33.200000000000003</v>
      </c>
      <c r="G2">
        <v>80</v>
      </c>
    </row>
    <row r="3" spans="1:7" x14ac:dyDescent="0.25">
      <c r="A3" s="1" t="s">
        <v>7</v>
      </c>
      <c r="B3">
        <v>1.87</v>
      </c>
      <c r="C3">
        <v>4.5</v>
      </c>
      <c r="D3">
        <v>10.77</v>
      </c>
      <c r="E3">
        <v>18.579999999999998</v>
      </c>
      <c r="F3">
        <v>60</v>
      </c>
    </row>
    <row r="4" spans="1:7" x14ac:dyDescent="0.25">
      <c r="A4" s="1" t="s">
        <v>8</v>
      </c>
      <c r="B4">
        <f>273+31</f>
        <v>304</v>
      </c>
      <c r="C4">
        <v>304</v>
      </c>
      <c r="D4">
        <v>304</v>
      </c>
      <c r="E4">
        <v>304</v>
      </c>
      <c r="F4">
        <v>304</v>
      </c>
    </row>
    <row r="5" spans="1:7" ht="75" x14ac:dyDescent="0.25">
      <c r="A5" s="3" t="s">
        <v>32</v>
      </c>
      <c r="B5">
        <f>B4*8.26/10000</f>
        <v>0.25110399999999999</v>
      </c>
      <c r="C5">
        <f>C4*8.26/10000</f>
        <v>0.25110399999999999</v>
      </c>
      <c r="D5">
        <f>D4*8.26/10000</f>
        <v>0.25110399999999999</v>
      </c>
      <c r="E5">
        <f>E4*8.26/10000</f>
        <v>0.25110399999999999</v>
      </c>
      <c r="F5">
        <f>F4*8.26/10000</f>
        <v>0.25110399999999999</v>
      </c>
    </row>
    <row r="13" spans="1:7" ht="30" x14ac:dyDescent="0.25">
      <c r="A13" s="6" t="s">
        <v>11</v>
      </c>
      <c r="B13" s="7">
        <v>50</v>
      </c>
    </row>
    <row r="14" spans="1:7" ht="30" x14ac:dyDescent="0.25">
      <c r="A14" s="4" t="s">
        <v>10</v>
      </c>
      <c r="B14" s="5">
        <v>0.86</v>
      </c>
    </row>
    <row r="15" spans="1:7" ht="30" x14ac:dyDescent="0.25">
      <c r="A15" s="3" t="s">
        <v>65</v>
      </c>
      <c r="B15">
        <v>40</v>
      </c>
    </row>
    <row r="16" spans="1:7" ht="30" x14ac:dyDescent="0.25">
      <c r="A16" s="2" t="s">
        <v>16</v>
      </c>
      <c r="B16">
        <v>12</v>
      </c>
    </row>
    <row r="18" spans="1:2" x14ac:dyDescent="0.25">
      <c r="A18" s="1" t="s">
        <v>14</v>
      </c>
      <c r="B18">
        <v>0.1</v>
      </c>
    </row>
    <row r="19" spans="1:2" x14ac:dyDescent="0.25">
      <c r="A19" s="1" t="s">
        <v>15</v>
      </c>
      <c r="B19">
        <v>20</v>
      </c>
    </row>
    <row r="21" spans="1:2" x14ac:dyDescent="0.25">
      <c r="A21" s="1" t="s">
        <v>42</v>
      </c>
      <c r="B21">
        <v>10000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6823-3269-4804-A393-6B95C11CB2D4}">
  <dimension ref="A1:O13"/>
  <sheetViews>
    <sheetView tabSelected="1" workbookViewId="0">
      <selection activeCell="D6" sqref="D6"/>
    </sheetView>
  </sheetViews>
  <sheetFormatPr defaultRowHeight="15" x14ac:dyDescent="0.25"/>
  <cols>
    <col min="1" max="1" width="13.28515625" customWidth="1"/>
    <col min="2" max="2" width="13.7109375" customWidth="1"/>
    <col min="3" max="3" width="12.85546875" customWidth="1"/>
    <col min="4" max="4" width="12" customWidth="1"/>
    <col min="5" max="5" width="11.28515625" customWidth="1"/>
    <col min="6" max="6" width="13" customWidth="1"/>
    <col min="7" max="7" width="12.42578125" customWidth="1"/>
    <col min="8" max="8" width="13.140625" customWidth="1"/>
    <col min="9" max="9" width="12.5703125" customWidth="1"/>
    <col min="10" max="10" width="13.5703125" customWidth="1"/>
    <col min="11" max="11" width="11.28515625" customWidth="1"/>
    <col min="12" max="12" width="15.7109375" customWidth="1"/>
    <col min="13" max="13" width="17" customWidth="1"/>
    <col min="14" max="14" width="16.42578125" customWidth="1"/>
    <col min="15" max="15" width="17.140625" customWidth="1"/>
  </cols>
  <sheetData>
    <row r="1" spans="1:15" s="1" customFormat="1" ht="50.25" customHeight="1" x14ac:dyDescent="0.25">
      <c r="B1" s="1" t="s">
        <v>18</v>
      </c>
      <c r="C1" s="1" t="s">
        <v>19</v>
      </c>
      <c r="D1" s="9" t="s">
        <v>25</v>
      </c>
      <c r="E1" s="9" t="s">
        <v>22</v>
      </c>
      <c r="F1" s="9" t="s">
        <v>21</v>
      </c>
      <c r="G1" s="9" t="s">
        <v>23</v>
      </c>
      <c r="H1" s="9" t="s">
        <v>20</v>
      </c>
      <c r="I1" s="9" t="s">
        <v>24</v>
      </c>
      <c r="J1" s="2"/>
      <c r="K1" s="2"/>
      <c r="L1" s="10" t="s">
        <v>47</v>
      </c>
      <c r="M1" s="10" t="s">
        <v>48</v>
      </c>
      <c r="N1" s="10" t="s">
        <v>49</v>
      </c>
      <c r="O1" s="10" t="s">
        <v>50</v>
      </c>
    </row>
    <row r="2" spans="1:15" x14ac:dyDescent="0.25">
      <c r="B2">
        <v>3</v>
      </c>
      <c r="C2">
        <v>2</v>
      </c>
      <c r="D2">
        <v>0</v>
      </c>
      <c r="E2">
        <v>40</v>
      </c>
      <c r="F2">
        <v>0</v>
      </c>
      <c r="G2">
        <v>40</v>
      </c>
      <c r="H2">
        <f>'Stream data'!B21</f>
        <v>10000</v>
      </c>
      <c r="I2">
        <f>'Stream data'!B21</f>
        <v>10000</v>
      </c>
      <c r="L2">
        <v>20</v>
      </c>
      <c r="M2">
        <v>50</v>
      </c>
      <c r="N2">
        <v>20</v>
      </c>
      <c r="O2">
        <v>50</v>
      </c>
    </row>
    <row r="12" spans="1:15" ht="50.25" customHeight="1" x14ac:dyDescent="0.25">
      <c r="A12" s="1"/>
      <c r="D12" s="9" t="s">
        <v>26</v>
      </c>
      <c r="E12" s="9" t="s">
        <v>27</v>
      </c>
      <c r="F12" s="9" t="s">
        <v>28</v>
      </c>
      <c r="G12" s="9" t="s">
        <v>29</v>
      </c>
      <c r="H12" s="9" t="s">
        <v>31</v>
      </c>
      <c r="I12" s="9" t="s">
        <v>30</v>
      </c>
      <c r="J12" s="2"/>
      <c r="K12" s="2"/>
      <c r="L12" s="10" t="s">
        <v>51</v>
      </c>
      <c r="M12" s="10" t="s">
        <v>52</v>
      </c>
      <c r="N12" s="10" t="s">
        <v>66</v>
      </c>
      <c r="O12" s="10" t="s">
        <v>67</v>
      </c>
    </row>
    <row r="13" spans="1:15" x14ac:dyDescent="0.25">
      <c r="D13">
        <f>Calculations!B37*'Stream data'!B18/(1-1/(1+'Stream data'!B18)^'Stream data'!B19)</f>
        <v>0</v>
      </c>
      <c r="E13">
        <f>Calculations!C37*'Stream data'!B18/(1-1/(1+'Stream data'!B18)^'Stream data'!B19)</f>
        <v>30175.379474121244</v>
      </c>
      <c r="F13">
        <f>Calculations!D37*'Stream data'!B18/(1-1/(1+'Stream data'!B18)^'Stream data'!B19)</f>
        <v>0</v>
      </c>
      <c r="G13">
        <f>Calculations!E37*'Stream data'!B18/(1-1/(1+'Stream data'!B18)^'Stream data'!B19)</f>
        <v>18026.654762151677</v>
      </c>
      <c r="H13">
        <v>0</v>
      </c>
      <c r="I13">
        <v>0</v>
      </c>
      <c r="L13">
        <f>Calculations!J37*1000000*'Stream data'!B18/(1-1/(1+'Stream data'!B18)^'Stream data'!B19)</f>
        <v>440974.46677580819</v>
      </c>
      <c r="M13">
        <f>Calculations!K37*1000000*'Stream data'!B18/(1-1/(1+'Stream data'!B18)^'Stream data'!B19)</f>
        <v>47571.155705881989</v>
      </c>
      <c r="N13">
        <f>Calculations!L37*1000000*'Stream data'!B18/(1-1/(1+'Stream data'!B18)^'Stream data'!B19)</f>
        <v>1282329.5110640076</v>
      </c>
      <c r="O13">
        <f>Calculations!M37*1000000*'Stream data'!B18/(1-1/(1+'Stream data'!B18)^'Stream data'!B19)</f>
        <v>138334.3060270354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88C5-165B-4F1B-A3E5-81248DBAEA02}">
  <dimension ref="A1:E13"/>
  <sheetViews>
    <sheetView workbookViewId="0">
      <selection activeCell="G17" sqref="G17"/>
    </sheetView>
  </sheetViews>
  <sheetFormatPr defaultRowHeight="15" x14ac:dyDescent="0.25"/>
  <cols>
    <col min="1" max="1" width="13.42578125" customWidth="1"/>
    <col min="2" max="2" width="15.5703125" customWidth="1"/>
    <col min="3" max="3" width="20" customWidth="1"/>
    <col min="4" max="4" width="16.7109375" customWidth="1"/>
    <col min="5" max="5" width="19.7109375" customWidth="1"/>
  </cols>
  <sheetData>
    <row r="1" spans="1:5" ht="65.25" customHeight="1" x14ac:dyDescent="0.25">
      <c r="A1" s="1"/>
      <c r="B1" s="10" t="s">
        <v>58</v>
      </c>
      <c r="C1" s="10" t="s">
        <v>59</v>
      </c>
      <c r="D1" s="10" t="s">
        <v>60</v>
      </c>
      <c r="E1" s="10" t="s">
        <v>61</v>
      </c>
    </row>
    <row r="2" spans="1:5" x14ac:dyDescent="0.25">
      <c r="B2">
        <v>0</v>
      </c>
      <c r="C2">
        <f>Calculations!K4</f>
        <v>0.25110399999999999</v>
      </c>
      <c r="D2">
        <v>0</v>
      </c>
      <c r="E2">
        <f>Calculations!M4</f>
        <v>1.004416</v>
      </c>
    </row>
    <row r="12" spans="1:5" ht="47.25" customHeight="1" x14ac:dyDescent="0.25">
      <c r="B12" s="9" t="s">
        <v>62</v>
      </c>
      <c r="C12" s="9" t="s">
        <v>64</v>
      </c>
      <c r="D12" s="9" t="s">
        <v>63</v>
      </c>
      <c r="E12" s="2"/>
    </row>
    <row r="13" spans="1:5" x14ac:dyDescent="0.25">
      <c r="B13">
        <v>0</v>
      </c>
      <c r="C13">
        <v>0</v>
      </c>
      <c r="D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0A7B-A615-4D4C-8798-0CB031FE4BA4}">
  <dimension ref="A1:O37"/>
  <sheetViews>
    <sheetView topLeftCell="A13" workbookViewId="0">
      <selection activeCell="F31" sqref="F31"/>
    </sheetView>
  </sheetViews>
  <sheetFormatPr defaultRowHeight="15" x14ac:dyDescent="0.25"/>
  <cols>
    <col min="1" max="1" width="14.28515625" customWidth="1"/>
    <col min="2" max="2" width="13" customWidth="1"/>
    <col min="3" max="3" width="13.28515625" customWidth="1"/>
    <col min="4" max="4" width="12.42578125" customWidth="1"/>
    <col min="5" max="6" width="14" customWidth="1"/>
    <col min="7" max="7" width="14.140625" customWidth="1"/>
    <col min="8" max="8" width="12.85546875" customWidth="1"/>
    <col min="9" max="9" width="13.140625" customWidth="1"/>
    <col min="10" max="10" width="15" customWidth="1"/>
    <col min="11" max="11" width="16" customWidth="1"/>
    <col min="12" max="12" width="15.28515625" customWidth="1"/>
    <col min="13" max="13" width="15" customWidth="1"/>
  </cols>
  <sheetData>
    <row r="1" spans="1:13" s="1" customFormat="1" ht="23.25" x14ac:dyDescent="0.35">
      <c r="A1" s="8" t="s">
        <v>33</v>
      </c>
    </row>
    <row r="3" spans="1:13" ht="42.75" customHeight="1" x14ac:dyDescent="0.25">
      <c r="A3" s="1" t="s">
        <v>17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/>
      <c r="I3" s="9"/>
      <c r="J3" s="11"/>
      <c r="K3" s="10" t="s">
        <v>57</v>
      </c>
      <c r="L3" s="11"/>
      <c r="M3" s="10" t="s">
        <v>57</v>
      </c>
    </row>
    <row r="4" spans="1:13" x14ac:dyDescent="0.25">
      <c r="B4">
        <f>'Design parameters'!D2/'Stream data'!B3</f>
        <v>0</v>
      </c>
      <c r="C4">
        <f>'Design parameters'!E2/'Stream data'!B3</f>
        <v>21.390374331550802</v>
      </c>
      <c r="D4">
        <f>'Design parameters'!F2/'Stream data'!C3</f>
        <v>0</v>
      </c>
      <c r="E4">
        <f>'Design parameters'!G2/'Stream data'!C3</f>
        <v>8.8888888888888893</v>
      </c>
      <c r="K4">
        <f>'Stream data'!B5</f>
        <v>0.25110399999999999</v>
      </c>
      <c r="M4">
        <f>'Stream data'!C5+'Stream data'!D5+'Stream data'!E5+'Stream data'!F5</f>
        <v>1.004416</v>
      </c>
    </row>
    <row r="14" spans="1:13" ht="45" customHeight="1" x14ac:dyDescent="0.25">
      <c r="B14" s="9" t="s">
        <v>40</v>
      </c>
      <c r="C14" s="9" t="s">
        <v>41</v>
      </c>
      <c r="D14" s="9" t="s">
        <v>40</v>
      </c>
      <c r="E14" s="9" t="s">
        <v>41</v>
      </c>
      <c r="F14" s="9" t="s">
        <v>40</v>
      </c>
      <c r="G14" s="9" t="s">
        <v>41</v>
      </c>
      <c r="H14" s="2"/>
      <c r="I14" s="2"/>
      <c r="J14" s="10" t="s">
        <v>53</v>
      </c>
      <c r="K14" s="10" t="s">
        <v>54</v>
      </c>
      <c r="L14" s="10" t="s">
        <v>55</v>
      </c>
      <c r="M14" s="10" t="s">
        <v>56</v>
      </c>
    </row>
    <row r="15" spans="1:13" x14ac:dyDescent="0.25">
      <c r="B15">
        <f>3.28*10*(B4/PI())^(1/3)</f>
        <v>0</v>
      </c>
      <c r="C15">
        <f>3.28*10*(C4/PI())^(1/3)</f>
        <v>62.167492086354876</v>
      </c>
      <c r="D15">
        <f t="shared" ref="D15:E15" si="0">3.28*10*(D4/PI())^(1/3)</f>
        <v>0</v>
      </c>
      <c r="E15">
        <f t="shared" si="0"/>
        <v>46.39163854488455</v>
      </c>
      <c r="J15">
        <f>1341*'Design parameters'!L2*K4</f>
        <v>6734.6092799999997</v>
      </c>
      <c r="K15">
        <f>1341*'Design parameters'!M2*K4</f>
        <v>16836.5232</v>
      </c>
      <c r="L15">
        <f>1341*'Design parameters'!N2*M4</f>
        <v>26938.437119999999</v>
      </c>
      <c r="M15">
        <f>1341*'Design parameters'!O2*Calculations!M4</f>
        <v>67346.092799999999</v>
      </c>
    </row>
    <row r="25" spans="2:15" ht="30" x14ac:dyDescent="0.25">
      <c r="B25" s="9" t="s">
        <v>43</v>
      </c>
      <c r="C25" s="9" t="s">
        <v>44</v>
      </c>
      <c r="D25" s="9" t="s">
        <v>43</v>
      </c>
      <c r="E25" s="9" t="s">
        <v>44</v>
      </c>
      <c r="F25" s="9" t="s">
        <v>43</v>
      </c>
      <c r="G25" s="9" t="s">
        <v>44</v>
      </c>
      <c r="H25" s="2"/>
      <c r="I25" s="2"/>
      <c r="J25" s="10" t="s">
        <v>12</v>
      </c>
      <c r="K25" s="10" t="s">
        <v>13</v>
      </c>
      <c r="L25" s="10" t="s">
        <v>12</v>
      </c>
      <c r="M25" s="10" t="s">
        <v>13</v>
      </c>
      <c r="N25" s="2"/>
      <c r="O25" s="2"/>
    </row>
    <row r="26" spans="2:15" x14ac:dyDescent="0.25">
      <c r="B26">
        <f>(791/115)*(3.18+2.25-1)*690*(B15)^0.78*(B15/3)^0.98</f>
        <v>0</v>
      </c>
      <c r="C26">
        <f>(791/115)*(3.18+2.25-1)*690*(C15)^0.78*(C15/3)^0.98</f>
        <v>10276000.636833036</v>
      </c>
      <c r="D26">
        <f t="shared" ref="D26:E26" si="1">(791/115)*(3.18+2.25-1)*690*(D15)^0.78*(D15/3)^0.98</f>
        <v>0</v>
      </c>
      <c r="E26">
        <f t="shared" si="1"/>
        <v>6138842.9588666996</v>
      </c>
      <c r="J26">
        <f>(791/115)*2.93*23000*(J15/100)^0.77/1000000</f>
        <v>11.85426552817405</v>
      </c>
      <c r="K26">
        <f>(791/115)*2.93*23000*(K15/100)^0.77/1000000</f>
        <v>24.004267487911527</v>
      </c>
      <c r="L26">
        <f t="shared" ref="L26:M26" si="2">(791/115)*2.93*23000*(L15/100)^0.77/1000000</f>
        <v>34.47155258196522</v>
      </c>
      <c r="M26">
        <f t="shared" si="2"/>
        <v>69.803090451657638</v>
      </c>
    </row>
    <row r="36" spans="2:13" ht="21.75" customHeight="1" x14ac:dyDescent="0.25">
      <c r="B36" s="9" t="s">
        <v>45</v>
      </c>
      <c r="C36" s="9" t="s">
        <v>46</v>
      </c>
      <c r="D36" s="9" t="s">
        <v>45</v>
      </c>
      <c r="E36" s="9" t="s">
        <v>46</v>
      </c>
      <c r="F36" s="9" t="s">
        <v>45</v>
      </c>
      <c r="G36" s="9" t="s">
        <v>46</v>
      </c>
      <c r="H36" s="2"/>
      <c r="I36" s="2"/>
      <c r="J36" s="10" t="s">
        <v>45</v>
      </c>
      <c r="K36" s="10" t="s">
        <v>46</v>
      </c>
      <c r="L36" s="10" t="s">
        <v>45</v>
      </c>
      <c r="M36" s="10" t="s">
        <v>46</v>
      </c>
    </row>
    <row r="37" spans="2:13" x14ac:dyDescent="0.25">
      <c r="B37">
        <f>B26-(C26-B26)*'Design parameters'!D2/('Design parameters'!E2-'Design parameters'!D2)</f>
        <v>0</v>
      </c>
      <c r="C37">
        <f>(C26-B26)/('Design parameters'!E2-'Design parameters'!D2)</f>
        <v>256900.01592082591</v>
      </c>
      <c r="D37">
        <f>D26-(E26-D26)*'Design parameters'!F2/('Design parameters'!G2-'Design parameters'!F2)</f>
        <v>0</v>
      </c>
      <c r="E37">
        <f>(E26-D26)/('Design parameters'!G2-'Design parameters'!F2)</f>
        <v>153471.0739716675</v>
      </c>
      <c r="J37">
        <f>J26-(K26-J26)/('Design parameters'!M2-'Design parameters'!L2)*'Design parameters'!L2</f>
        <v>3.7542642216823996</v>
      </c>
      <c r="K37">
        <f>(K26-J26)/('Design parameters'!M2-'Design parameters'!L2)</f>
        <v>0.40500006532458255</v>
      </c>
      <c r="L37">
        <f>L26-(M26-L26)/('Design parameters'!O2-'Design parameters'!N2)*'Design parameters'!N2</f>
        <v>10.917194002170277</v>
      </c>
      <c r="M37">
        <f>(M26-L26)/('Design parameters'!O2-'Design parameters'!N2)</f>
        <v>1.1777179289897473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Stream data</vt:lpstr>
      <vt:lpstr>Design parameters</vt:lpstr>
      <vt:lpstr>Scheduling parameters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2026-01-15T22:28:44Z</dcterms:modified>
</cp:coreProperties>
</file>